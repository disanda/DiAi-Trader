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2"/>
  </bookViews>
  <sheets>
    <sheet name="00-说明与口径" sheetId="1" r:id="rId1"/>
    <sheet name="01-完整成份股" sheetId="2" r:id="rId2"/>
    <sheet name="02-权重与行业" sheetId="3" r:id="rId3"/>
    <sheet name="03-原表质检明细" sheetId="4" r:id="rId4"/>
    <sheet name="04-原表原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<sst xmlns="http://schemas.openxmlformats.org/spreadsheetml/2006/main" count="657" uniqueCount="169">
  <si>
    <t>恒生科技指数（HSTECH）完整成份股 · 重建说明</t>
  </si>
  <si>
    <t>一、完整版摘要</t>
  </si>
  <si>
    <t>快照日期</t>
  </si>
  <si>
    <t>2026-08-21</t>
  </si>
  <si>
    <t>指数</t>
  </si>
  <si>
    <t>HSTECH 恒生科技指数</t>
  </si>
  <si>
    <t>完整成份只数</t>
  </si>
  <si>
    <t>30 只（官方固定约30只）</t>
  </si>
  <si>
    <t>原表只数</t>
  </si>
  <si>
    <t>30 只（2026-05-29）</t>
  </si>
  <si>
    <t>加权方法</t>
  </si>
  <si>
    <t>自由流通市值加权，个股权重上限8%</t>
  </si>
  <si>
    <t>本次处理</t>
  </si>
  <si>
    <t>按官方最新成份列表重建，剔除原表中已不在指数的股票，补入缺失成份，日期更新至2026-08-21</t>
  </si>
  <si>
    <t>二、原表质检与补全结论</t>
  </si>
  <si>
    <t>原表混入了若干非当前成份（如金山软件、药明生物、农夫山泉、百威亚太、中兴、阅文、碧生源等），权重分布也偏离官方（腾讯权重过高）。</t>
  </si>
  <si>
    <t>编号</t>
  </si>
  <si>
    <t>问题</t>
  </si>
  <si>
    <t>级别</t>
  </si>
  <si>
    <t>说明</t>
  </si>
  <si>
    <t>成份与官方不一致</t>
  </si>
  <si>
    <t>high</t>
  </si>
  <si>
    <t>原表含多只已不在/从未在HSTECH的股票；同时缺失中芯、华虹、地平线、商汤、美的、海尔、零跑、蔚来、智谱、MINIMAX等。</t>
  </si>
  <si>
    <t>权重严重偏离</t>
  </si>
  <si>
    <t>原表腾讯权重约69%，而官方有8%上限，实际权重约8-9%。</t>
  </si>
  <si>
    <t>部分字段为零或异常</t>
  </si>
  <si>
    <t>medium</t>
  </si>
  <si>
    <t>原表部分股票权重/价格为0或极低（如启明医疗、腾讯音乐等）。</t>
  </si>
  <si>
    <t>快照日期偏旧</t>
  </si>
  <si>
    <t>原表2026-05-29，已更新至2026-08-21。</t>
  </si>
  <si>
    <t>即将变动提示</t>
  </si>
  <si>
    <t>info</t>
  </si>
  <si>
    <t>2026-08-21公告：9月7日起剔除同程旅行(00780)，加入天数智芯(09903)。本表仍按变动前30只。</t>
  </si>
  <si>
    <t>三、编制口径与数据来源</t>
  </si>
  <si>
    <t>恒生科技指数选取香港上市、科技主题高度相关的最大30只股票，自由流通市值加权并设8%个股上限。</t>
  </si>
  <si>
    <t>来源 1</t>
  </si>
  <si>
    <t>用户原表 HS_Tech.xlsx（2026-05-29）</t>
  </si>
  <si>
    <t>来源 2</t>
  </si>
  <si>
    <t>恒生指数公司Factsheet（2026年7月）及2026-08-21成份变动公告</t>
  </si>
  <si>
    <t>来源 3</t>
  </si>
  <si>
    <t>CSOP/KraneShares等ETF持股列表与公开报价（用于权重与价格参考）</t>
  </si>
  <si>
    <t>四、使用注意</t>
  </si>
  <si>
    <t>1. 权重与价格为基于公开Factsheet与ETF的近似值，已整体归一至100%；官方精确值由恒生指数公司专有。</t>
  </si>
  <si>
    <t>2. 流通股本为估算，仅供参考；指数实际按自由流通市值加权并受上限约束。</t>
  </si>
  <si>
    <t>3. 本表反映2026-08-21时点成份（变动前）；9月7日后同程将被天数智芯替换。</t>
  </si>
  <si>
    <t>排名</t>
  </si>
  <si>
    <t>日期</t>
  </si>
  <si>
    <t>指数代码</t>
  </si>
  <si>
    <t>指数名称</t>
  </si>
  <si>
    <t>成份券代码</t>
  </si>
  <si>
    <t>成份券名称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</si>
  <si>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</si>
  <si>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</si>
  <si>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</si>
  <si>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</si>
  <si>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</si>
  <si>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</si>
  <si>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</si>
  <si>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</si>
  <si>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数据状态</t>
  </si>
  <si>
    <t>原表是否收录</t>
  </si>
  <si>
    <t>流通股本口径</t>
  </si>
  <si>
    <t>HSTECH</t>
  </si>
  <si>
    <t>恒生科技指数</t>
  </si>
  <si>
    <t>03690</t>
  </si>
  <si>
    <t>美团-W</t>
  </si>
  <si>
    <t>港交所</t>
  </si>
  <si>
    <t>Hong Kong Stock Exchange</t>
  </si>
  <si>
    <t>官方成份（行情估算）</t>
  </si>
  <si>
    <t>是</t>
  </si>
  <si>
    <t>估算自由流通（指数有权重上限8%）</t>
  </si>
  <si>
    <t>09999</t>
  </si>
  <si>
    <t>网易-S</t>
  </si>
  <si>
    <t>00700</t>
  </si>
  <si>
    <t>腾讯控股</t>
  </si>
  <si>
    <t>01211</t>
  </si>
  <si>
    <t>比亚迪股份</t>
  </si>
  <si>
    <t>01810</t>
  </si>
  <si>
    <t>小米集团-W</t>
  </si>
  <si>
    <t>09988</t>
  </si>
  <si>
    <t>阿里巴巴-W</t>
  </si>
  <si>
    <t>00981</t>
  </si>
  <si>
    <t>中芯国际</t>
  </si>
  <si>
    <t>否（新增/更新）</t>
  </si>
  <si>
    <t>09618</t>
  </si>
  <si>
    <t>京东集团-SW</t>
  </si>
  <si>
    <t>00992</t>
  </si>
  <si>
    <t>联想集团</t>
  </si>
  <si>
    <t>09888</t>
  </si>
  <si>
    <t>百度集团-SW</t>
  </si>
  <si>
    <t>01024</t>
  </si>
  <si>
    <t>快手-W</t>
  </si>
  <si>
    <t>01347</t>
  </si>
  <si>
    <t>华虹宏力</t>
  </si>
  <si>
    <t>09961</t>
  </si>
  <si>
    <t>携程集团-S</t>
  </si>
  <si>
    <t>09868</t>
  </si>
  <si>
    <t>小鹏汽车-W</t>
  </si>
  <si>
    <t>02015</t>
  </si>
  <si>
    <t>理想汽车-W</t>
  </si>
  <si>
    <t>00300</t>
  </si>
  <si>
    <t>美的集团</t>
  </si>
  <si>
    <t>09660</t>
  </si>
  <si>
    <t>地平线机器人-W</t>
  </si>
  <si>
    <t>06690</t>
  </si>
  <si>
    <t>海尔智家</t>
  </si>
  <si>
    <t>00020</t>
  </si>
  <si>
    <t>商汤-W</t>
  </si>
  <si>
    <t>09626</t>
  </si>
  <si>
    <t>哔哩哔哩-W</t>
  </si>
  <si>
    <t>06618</t>
  </si>
  <si>
    <t>京东健康</t>
  </si>
  <si>
    <t>02382</t>
  </si>
  <si>
    <t>舜宇光学科技</t>
  </si>
  <si>
    <t>09863</t>
  </si>
  <si>
    <t>零跑汽车</t>
  </si>
  <si>
    <t>09866</t>
  </si>
  <si>
    <t>蔚来-SW</t>
  </si>
  <si>
    <t>00241</t>
  </si>
  <si>
    <t>阿里健康</t>
  </si>
  <si>
    <t>00780</t>
  </si>
  <si>
    <t>同程旅行</t>
  </si>
  <si>
    <t>00285</t>
  </si>
  <si>
    <t>比亚迪电子</t>
  </si>
  <si>
    <t>02513</t>
  </si>
  <si>
    <t>智谱</t>
  </si>
  <si>
    <t>00100</t>
  </si>
  <si>
    <t>MINIMAX-W</t>
  </si>
  <si>
    <t>01698</t>
  </si>
  <si>
    <t>腾讯音乐-SW</t>
  </si>
  <si>
    <t>恒生科技指数 权重分布（2026-08-21）</t>
  </si>
  <si>
    <t>全部30只成份（按权重）</t>
  </si>
  <si>
    <t>代码</t>
  </si>
  <si>
    <t>名称</t>
  </si>
  <si>
    <t>说明：个股上限8%，腾讯/美团/网易/小米/比亚迪/阿里等受上限约束。权重为Factsheet近似值并归一。</t>
  </si>
  <si>
    <t>原表 HS_Tech.xlsx 质检与补全明细</t>
  </si>
  <si>
    <t>问题对象</t>
  </si>
  <si>
    <t>问题类型</t>
  </si>
  <si>
    <t>处理结果</t>
  </si>
  <si>
    <t>（整体）</t>
  </si>
  <si>
    <t>已按官方30只重建</t>
  </si>
  <si>
    <t>剔除非当前成份，补入中芯、华虹、地平线、商汤、美的、海尔、零跑、蔚来、智谱、MINIMAX等</t>
  </si>
  <si>
    <t>腾讯等</t>
  </si>
  <si>
    <t>已按官方上限调整</t>
  </si>
  <si>
    <t>原表腾讯约69%，官方上限8%</t>
  </si>
  <si>
    <t>多只小权重股</t>
  </si>
  <si>
    <t>字段为零/异常</t>
  </si>
  <si>
    <t>已剔除或更新</t>
  </si>
  <si>
    <t>启明医疗、微盟、腾讯音乐等权重/价格异常</t>
  </si>
  <si>
    <t>已更新至2026-08-21</t>
  </si>
  <si>
    <t/>
  </si>
  <si>
    <t>即将剔除</t>
  </si>
  <si>
    <t>仍保留在本表</t>
  </si>
  <si>
    <t>9月7日起将被天数智芯(09903)替换</t>
  </si>
  <si>
    <t>原表 HS_Tech.xlsx 原文（2026-05-29）</t>
  </si>
  <si>
    <t>2026-05-29</t>
  </si>
  <si>
    <t>金山软件</t>
  </si>
  <si>
    <t>瑞声科技</t>
  </si>
  <si>
    <t>药明生物</t>
  </si>
  <si>
    <t>众安在线</t>
  </si>
  <si>
    <t>启明医疗-B</t>
  </si>
  <si>
    <t>微盟集团</t>
  </si>
  <si>
    <t>平安好医生</t>
  </si>
  <si>
    <t>长城汽车</t>
  </si>
  <si>
    <t>中兴通讯</t>
  </si>
  <si>
    <t>阅文集团</t>
  </si>
  <si>
    <t>碧生源</t>
  </si>
  <si>
    <t>农夫山泉</t>
  </si>
  <si>
    <t>百威亚太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</si>
</sst>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color rgb="FF1F4E7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2" fillId="2" borderId="0" xfId="0" applyFont="1" applyFill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2" fontId="3" fillId="0" borderId="1" xfId="0" applyNumberFormat="1" applyFont="1" applyBorder="1"/>
    <xf numFmtId="3" fontId="3" fillId="0" borderId="1" xfId="0" applyNumberFormat="1" applyFont="1" applyBorder="1"/>
    <xf numFmtId="0" fontId="2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"/>
    </sheetView>
  </sheetViews>
  <sheetFormatPr defaultColWidth="9" defaultRowHeight="16.8" outlineLevelCol="3"/>
  <cols>
    <col min="1" max="1" width="22" customWidth="1"/>
    <col min="2" max="2" width="28" customWidth="1"/>
    <col min="3" max="3" width="12" customWidth="1"/>
    <col min="4" max="4" width="95" customWidth="1"/>
  </cols>
  <sheetData>
    <row r="1" ht="20.4" spans="1:4">
      <c r="A1" s="1" t="s">
        <v>0</v>
      </c>
    </row>
    <row r="3" ht="17.6" spans="1:4">
      <c r="A3" s="8" t="s">
        <v>1</v>
      </c>
    </row>
    <row r="4" spans="1:4">
      <c r="A4" s="9" t="s">
        <v>2</v>
      </c>
      <c r="B4" s="9" t="s">
        <v>3</v>
      </c>
    </row>
    <row r="5" spans="1:4">
      <c r="A5" s="9" t="s">
        <v>4</v>
      </c>
      <c r="B5" s="9" t="s">
        <v>5</v>
      </c>
    </row>
    <row r="6" spans="1:4">
      <c r="A6" s="9" t="s">
        <v>6</v>
      </c>
      <c r="B6" s="9" t="s">
        <v>7</v>
      </c>
    </row>
    <row r="7" spans="1:4">
      <c r="A7" s="9" t="s">
        <v>8</v>
      </c>
      <c r="B7" s="9" t="s">
        <v>9</v>
      </c>
    </row>
    <row r="8" spans="1:4">
      <c r="A8" s="9" t="s">
        <v>10</v>
      </c>
      <c r="B8" s="9" t="s">
        <v>11</v>
      </c>
    </row>
    <row r="9" spans="1:4">
      <c r="A9" s="9" t="s">
        <v>12</v>
      </c>
      <c r="B9" s="9" t="s">
        <v>13</v>
      </c>
    </row>
    <row r="11" ht="17.6" spans="1:4">
      <c r="A11" s="8" t="s">
        <v>14</v>
      </c>
    </row>
    <row r="12" spans="1:4">
      <c r="A12" s="9" t="s">
        <v>15</v>
      </c>
    </row>
    <row r="14" spans="1:4">
      <c r="A14" s="9" t="s">
        <v>16</v>
      </c>
      <c r="B14" s="9" t="s">
        <v>17</v>
      </c>
      <c r="C14" s="9" t="s">
        <v>18</v>
      </c>
      <c r="D14" s="9" t="s">
        <v>19</v>
      </c>
    </row>
    <row r="15" spans="1:4">
      <c r="A15" s="4">
        <v>1</v>
      </c>
      <c r="B15" s="4" t="s">
        <v>20</v>
      </c>
      <c r="C15" s="13" t="s">
        <v>21</v>
      </c>
      <c r="D15" s="4" t="s">
        <v>22</v>
      </c>
    </row>
    <row r="16" spans="1:4">
      <c r="A16" s="9">
        <v>2</v>
      </c>
      <c r="B16" s="9" t="s">
        <v>23</v>
      </c>
      <c r="C16" s="14" t="s">
        <v>21</v>
      </c>
      <c r="D16" s="9" t="s">
        <v>24</v>
      </c>
    </row>
    <row r="17" spans="1:4">
      <c r="A17" s="9">
        <v>3</v>
      </c>
      <c r="B17" s="9" t="s">
        <v>25</v>
      </c>
      <c r="C17" s="15" t="s">
        <v>26</v>
      </c>
      <c r="D17" s="9" t="s">
        <v>27</v>
      </c>
    </row>
    <row r="18" spans="1:4">
      <c r="A18" s="9">
        <v>4</v>
      </c>
      <c r="B18" s="9" t="s">
        <v>28</v>
      </c>
      <c r="C18" s="15" t="s">
        <v>26</v>
      </c>
      <c r="D18" s="9" t="s">
        <v>29</v>
      </c>
    </row>
    <row r="19" spans="1:4">
      <c r="A19" s="9">
        <v>5</v>
      </c>
      <c r="B19" s="9" t="s">
        <v>30</v>
      </c>
      <c r="C19" s="16" t="s">
        <v>31</v>
      </c>
      <c r="D19" s="9" t="s">
        <v>32</v>
      </c>
    </row>
    <row r="21" ht="17.6" spans="1:4">
      <c r="A21" s="8" t="s">
        <v>33</v>
      </c>
    </row>
    <row r="22" spans="1:4">
      <c r="A22" s="9" t="s">
        <v>34</v>
      </c>
    </row>
    <row r="24" spans="1:4">
      <c r="A24" s="9" t="s">
        <v>35</v>
      </c>
      <c r="B24" s="9" t="s">
        <v>36</v>
      </c>
    </row>
    <row r="25" spans="1:4">
      <c r="A25" s="9" t="s">
        <v>37</v>
      </c>
      <c r="B25" s="9" t="s">
        <v>38</v>
      </c>
    </row>
    <row r="26" spans="1:4">
      <c r="A26" s="9" t="s">
        <v>39</v>
      </c>
      <c r="B26" s="9" t="s">
        <v>40</v>
      </c>
    </row>
    <row r="28" ht="17.6" spans="1:4">
      <c r="A28" s="8" t="s">
        <v>41</v>
      </c>
    </row>
    <row r="29" spans="1:4">
      <c r="A29" s="9" t="s">
        <v>42</v>
      </c>
    </row>
    <row r="30" spans="1:4">
      <c r="A30" s="9" t="s">
        <v>43</v>
      </c>
    </row>
    <row r="31" spans="1:4">
      <c r="A31" s="9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K4" sqref="K4"/>
    </sheetView>
  </sheetViews>
  <sheetFormatPr defaultColWidth="9" defaultRowHeight="16.8"/>
  <cols>
    <col min="1" max="5" width="14" customWidth="1"/>
    <col min="6" max="6" width="16" customWidth="1"/>
    <col min="7" max="8" width="14" customWidth="1"/>
    <col min="9" max="9" width="23.0769230769231" customWidth="1"/>
    <col min="10" max="11" width="14" customWidth="1"/>
    <col min="12" max="12" width="21.9519230769231" customWidth="1"/>
    <col min="13" max="13" width="14" customWidth="1"/>
    <col min="14" max="14" width="22.1153846153846" customWidth="1"/>
    <col min="15" max="15" width="18" customWidth="1"/>
    <col min="16" max="16" width="16" customWidth="1"/>
    <col min="17" max="17" width="14" customWidth="1"/>
  </cols>
  <sheetData>
    <row r="1" ht="34" spans="1:17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  <c r="J1" s="10" t="s">
        <v>54</v>
      </c>
      <c r="K1" s="10" t="s">
        <v>55</v>
      </c>
      <c r="L1" s="10" t="s">
        <v>56</v>
      </c>
      <c r="M1" s="10" t="s">
        <v>57</v>
      </c>
      <c r="N1" s="10" t="s">
        <v>58</v>
      </c>
      <c r="O1" s="10" t="s">
        <v>59</v>
      </c>
      <c r="P1" s="10" t="s">
        <v>60</v>
      </c>
      <c r="Q1" s="10" t="s">
        <v>61</v>
      </c>
    </row>
    <row r="2" spans="1:17">
      <c r="A2" s="3">
        <v>1</v>
      </c>
      <c r="B2" s="3" t="s">
        <v>3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11">
        <v>9.32186437287457</v>
      </c>
      <c r="J2" s="11">
        <v>85</v>
      </c>
      <c r="K2" s="12">
        <v>4200000000</v>
      </c>
      <c r="L2" s="12">
        <v>357000000000</v>
      </c>
      <c r="M2" s="12">
        <v>6200000000</v>
      </c>
      <c r="N2" s="12">
        <v>527000000000</v>
      </c>
      <c r="O2" s="3" t="s">
        <v>68</v>
      </c>
      <c r="P2" s="3" t="s">
        <v>69</v>
      </c>
      <c r="Q2" s="3" t="s">
        <v>70</v>
      </c>
    </row>
    <row r="3" spans="1:17">
      <c r="A3" s="3">
        <v>2</v>
      </c>
      <c r="B3" s="3" t="s">
        <v>3</v>
      </c>
      <c r="C3" s="3" t="s">
        <v>62</v>
      </c>
      <c r="D3" s="3" t="s">
        <v>63</v>
      </c>
      <c r="E3" s="3" t="s">
        <v>71</v>
      </c>
      <c r="F3" s="3" t="s">
        <v>72</v>
      </c>
      <c r="G3" s="3" t="s">
        <v>66</v>
      </c>
      <c r="H3" s="3" t="s">
        <v>67</v>
      </c>
      <c r="I3" s="11">
        <v>9.06181236247249</v>
      </c>
      <c r="J3" s="11">
        <v>202</v>
      </c>
      <c r="K3" s="12">
        <v>1600000000</v>
      </c>
      <c r="L3" s="12">
        <v>323200000000</v>
      </c>
      <c r="M3" s="12">
        <v>3200000000</v>
      </c>
      <c r="N3" s="12">
        <v>646400000000</v>
      </c>
      <c r="O3" s="3" t="s">
        <v>68</v>
      </c>
      <c r="P3" s="3" t="s">
        <v>69</v>
      </c>
      <c r="Q3" s="3" t="s">
        <v>70</v>
      </c>
    </row>
    <row r="4" spans="1:17">
      <c r="A4" s="3">
        <v>3</v>
      </c>
      <c r="B4" s="3" t="s">
        <v>3</v>
      </c>
      <c r="C4" s="3" t="s">
        <v>62</v>
      </c>
      <c r="D4" s="3" t="s">
        <v>63</v>
      </c>
      <c r="E4" s="3" t="s">
        <v>73</v>
      </c>
      <c r="F4" s="3" t="s">
        <v>74</v>
      </c>
      <c r="G4" s="3" t="s">
        <v>66</v>
      </c>
      <c r="H4" s="3" t="s">
        <v>67</v>
      </c>
      <c r="I4" s="11">
        <v>8.50170034006801</v>
      </c>
      <c r="J4" s="11">
        <v>457</v>
      </c>
      <c r="K4" s="12">
        <v>9500000000</v>
      </c>
      <c r="L4" s="12">
        <v>4341500000000</v>
      </c>
      <c r="M4" s="12">
        <v>9500000000</v>
      </c>
      <c r="N4" s="12">
        <v>4341500000000</v>
      </c>
      <c r="O4" s="3" t="s">
        <v>68</v>
      </c>
      <c r="P4" s="3" t="s">
        <v>69</v>
      </c>
      <c r="Q4" s="3" t="s">
        <v>70</v>
      </c>
    </row>
    <row r="5" spans="1:17">
      <c r="A5" s="3">
        <v>4</v>
      </c>
      <c r="B5" s="3" t="s">
        <v>3</v>
      </c>
      <c r="C5" s="3" t="s">
        <v>62</v>
      </c>
      <c r="D5" s="3" t="s">
        <v>63</v>
      </c>
      <c r="E5" s="3" t="s">
        <v>75</v>
      </c>
      <c r="F5" s="3" t="s">
        <v>76</v>
      </c>
      <c r="G5" s="3" t="s">
        <v>66</v>
      </c>
      <c r="H5" s="3" t="s">
        <v>67</v>
      </c>
      <c r="I5" s="11">
        <v>8.38167633526705</v>
      </c>
      <c r="J5" s="11">
        <v>93.15</v>
      </c>
      <c r="K5" s="12">
        <v>3400000000</v>
      </c>
      <c r="L5" s="12">
        <v>316710000000</v>
      </c>
      <c r="M5" s="12">
        <v>2900000000</v>
      </c>
      <c r="N5" s="12">
        <v>270135000000</v>
      </c>
      <c r="O5" s="3" t="s">
        <v>68</v>
      </c>
      <c r="P5" s="3" t="s">
        <v>69</v>
      </c>
      <c r="Q5" s="3" t="s">
        <v>70</v>
      </c>
    </row>
    <row r="6" spans="1:17">
      <c r="A6" s="3">
        <v>5</v>
      </c>
      <c r="B6" s="3" t="s">
        <v>3</v>
      </c>
      <c r="C6" s="3" t="s">
        <v>62</v>
      </c>
      <c r="D6" s="3" t="s">
        <v>63</v>
      </c>
      <c r="E6" s="3" t="s">
        <v>77</v>
      </c>
      <c r="F6" s="3" t="s">
        <v>78</v>
      </c>
      <c r="G6" s="3" t="s">
        <v>66</v>
      </c>
      <c r="H6" s="3" t="s">
        <v>67</v>
      </c>
      <c r="I6" s="11">
        <v>8.37167433486697</v>
      </c>
      <c r="J6" s="11">
        <v>29.02</v>
      </c>
      <c r="K6" s="12">
        <v>15000000000</v>
      </c>
      <c r="L6" s="12">
        <v>435300000000</v>
      </c>
      <c r="M6" s="12">
        <v>25000000000</v>
      </c>
      <c r="N6" s="12">
        <v>725500000000</v>
      </c>
      <c r="O6" s="3" t="s">
        <v>68</v>
      </c>
      <c r="P6" s="3" t="s">
        <v>69</v>
      </c>
      <c r="Q6" s="3" t="s">
        <v>70</v>
      </c>
    </row>
    <row r="7" spans="1:17">
      <c r="A7" s="3">
        <v>6</v>
      </c>
      <c r="B7" s="3" t="s">
        <v>3</v>
      </c>
      <c r="C7" s="3" t="s">
        <v>62</v>
      </c>
      <c r="D7" s="3" t="s">
        <v>63</v>
      </c>
      <c r="E7" s="3" t="s">
        <v>79</v>
      </c>
      <c r="F7" s="3" t="s">
        <v>80</v>
      </c>
      <c r="G7" s="3" t="s">
        <v>66</v>
      </c>
      <c r="H7" s="3" t="s">
        <v>67</v>
      </c>
      <c r="I7" s="11">
        <v>7.70154030806161</v>
      </c>
      <c r="J7" s="11">
        <v>123</v>
      </c>
      <c r="K7" s="12">
        <v>17000000000</v>
      </c>
      <c r="L7" s="12">
        <v>2091000000000</v>
      </c>
      <c r="M7" s="12">
        <v>19000000000</v>
      </c>
      <c r="N7" s="12">
        <v>2337000000000</v>
      </c>
      <c r="O7" s="3" t="s">
        <v>68</v>
      </c>
      <c r="P7" s="3" t="s">
        <v>69</v>
      </c>
      <c r="Q7" s="3" t="s">
        <v>70</v>
      </c>
    </row>
    <row r="8" spans="1:17">
      <c r="A8" s="3">
        <v>7</v>
      </c>
      <c r="B8" s="3" t="s">
        <v>3</v>
      </c>
      <c r="C8" s="3" t="s">
        <v>62</v>
      </c>
      <c r="D8" s="3" t="s">
        <v>63</v>
      </c>
      <c r="E8" s="3" t="s">
        <v>81</v>
      </c>
      <c r="F8" s="3" t="s">
        <v>82</v>
      </c>
      <c r="G8" s="3" t="s">
        <v>66</v>
      </c>
      <c r="H8" s="3" t="s">
        <v>67</v>
      </c>
      <c r="I8" s="11">
        <v>6.65133026605321</v>
      </c>
      <c r="J8" s="11">
        <v>72.5</v>
      </c>
      <c r="K8" s="12">
        <v>5000000000</v>
      </c>
      <c r="L8" s="12">
        <v>362500000000</v>
      </c>
      <c r="M8" s="12">
        <v>8000000000</v>
      </c>
      <c r="N8" s="12">
        <v>580000000000</v>
      </c>
      <c r="O8" s="3" t="s">
        <v>68</v>
      </c>
      <c r="P8" s="7" t="s">
        <v>83</v>
      </c>
      <c r="Q8" s="3" t="s">
        <v>70</v>
      </c>
    </row>
    <row r="9" spans="1:17">
      <c r="A9" s="3">
        <v>8</v>
      </c>
      <c r="B9" s="3" t="s">
        <v>3</v>
      </c>
      <c r="C9" s="3" t="s">
        <v>62</v>
      </c>
      <c r="D9" s="3" t="s">
        <v>63</v>
      </c>
      <c r="E9" s="3" t="s">
        <v>84</v>
      </c>
      <c r="F9" s="3" t="s">
        <v>85</v>
      </c>
      <c r="G9" s="3" t="s">
        <v>66</v>
      </c>
      <c r="H9" s="3" t="s">
        <v>67</v>
      </c>
      <c r="I9" s="11">
        <v>5.61112222444489</v>
      </c>
      <c r="J9" s="11">
        <v>115.2</v>
      </c>
      <c r="K9" s="12">
        <v>2800000000</v>
      </c>
      <c r="L9" s="12">
        <v>322560000000</v>
      </c>
      <c r="M9" s="12">
        <v>3100000000</v>
      </c>
      <c r="N9" s="12">
        <v>357120000000</v>
      </c>
      <c r="O9" s="3" t="s">
        <v>68</v>
      </c>
      <c r="P9" s="3" t="s">
        <v>69</v>
      </c>
      <c r="Q9" s="3" t="s">
        <v>70</v>
      </c>
    </row>
    <row r="10" spans="1:17">
      <c r="A10" s="3">
        <v>9</v>
      </c>
      <c r="B10" s="3" t="s">
        <v>3</v>
      </c>
      <c r="C10" s="3" t="s">
        <v>62</v>
      </c>
      <c r="D10" s="3" t="s">
        <v>63</v>
      </c>
      <c r="E10" s="3" t="s">
        <v>86</v>
      </c>
      <c r="F10" s="3" t="s">
        <v>87</v>
      </c>
      <c r="G10" s="3" t="s">
        <v>66</v>
      </c>
      <c r="H10" s="3" t="s">
        <v>67</v>
      </c>
      <c r="I10" s="11">
        <v>4.51090218043609</v>
      </c>
      <c r="J10" s="11">
        <v>29.78</v>
      </c>
      <c r="K10" s="12">
        <v>8000000000</v>
      </c>
      <c r="L10" s="12">
        <v>238240000000</v>
      </c>
      <c r="M10" s="12">
        <v>12000000000</v>
      </c>
      <c r="N10" s="12">
        <v>357360000000</v>
      </c>
      <c r="O10" s="3" t="s">
        <v>68</v>
      </c>
      <c r="P10" s="3" t="s">
        <v>69</v>
      </c>
      <c r="Q10" s="3" t="s">
        <v>70</v>
      </c>
    </row>
    <row r="11" spans="1:17">
      <c r="A11" s="3">
        <v>10</v>
      </c>
      <c r="B11" s="3" t="s">
        <v>3</v>
      </c>
      <c r="C11" s="3" t="s">
        <v>62</v>
      </c>
      <c r="D11" s="3" t="s">
        <v>63</v>
      </c>
      <c r="E11" s="3" t="s">
        <v>88</v>
      </c>
      <c r="F11" s="3" t="s">
        <v>89</v>
      </c>
      <c r="G11" s="3" t="s">
        <v>66</v>
      </c>
      <c r="H11" s="3" t="s">
        <v>67</v>
      </c>
      <c r="I11" s="11">
        <v>4.44088817763553</v>
      </c>
      <c r="J11" s="11">
        <v>93.2</v>
      </c>
      <c r="K11" s="12">
        <v>2500000000</v>
      </c>
      <c r="L11" s="12">
        <v>233000000000</v>
      </c>
      <c r="M11" s="12">
        <v>2800000000</v>
      </c>
      <c r="N11" s="12">
        <v>260960000000</v>
      </c>
      <c r="O11" s="3" t="s">
        <v>68</v>
      </c>
      <c r="P11" s="3" t="s">
        <v>69</v>
      </c>
      <c r="Q11" s="3" t="s">
        <v>70</v>
      </c>
    </row>
    <row r="12" spans="1:17">
      <c r="A12" s="3">
        <v>11</v>
      </c>
      <c r="B12" s="3" t="s">
        <v>3</v>
      </c>
      <c r="C12" s="3" t="s">
        <v>62</v>
      </c>
      <c r="D12" s="3" t="s">
        <v>63</v>
      </c>
      <c r="E12" s="3" t="s">
        <v>90</v>
      </c>
      <c r="F12" s="3" t="s">
        <v>91</v>
      </c>
      <c r="G12" s="3" t="s">
        <v>66</v>
      </c>
      <c r="H12" s="3" t="s">
        <v>67</v>
      </c>
      <c r="I12" s="11">
        <v>3.69073814762952</v>
      </c>
      <c r="J12" s="11">
        <v>42</v>
      </c>
      <c r="K12" s="12">
        <v>4500000000</v>
      </c>
      <c r="L12" s="12">
        <v>189000000000</v>
      </c>
      <c r="M12" s="12">
        <v>5500000000</v>
      </c>
      <c r="N12" s="12">
        <v>231000000000</v>
      </c>
      <c r="O12" s="3" t="s">
        <v>68</v>
      </c>
      <c r="P12" s="3" t="s">
        <v>69</v>
      </c>
      <c r="Q12" s="3" t="s">
        <v>70</v>
      </c>
    </row>
    <row r="13" spans="1:17">
      <c r="A13" s="3">
        <v>12</v>
      </c>
      <c r="B13" s="3" t="s">
        <v>3</v>
      </c>
      <c r="C13" s="3" t="s">
        <v>62</v>
      </c>
      <c r="D13" s="3" t="s">
        <v>63</v>
      </c>
      <c r="E13" s="3" t="s">
        <v>92</v>
      </c>
      <c r="F13" s="3" t="s">
        <v>93</v>
      </c>
      <c r="G13" s="3" t="s">
        <v>66</v>
      </c>
      <c r="H13" s="3" t="s">
        <v>67</v>
      </c>
      <c r="I13" s="11">
        <v>2.84056811362272</v>
      </c>
      <c r="J13" s="11">
        <v>133</v>
      </c>
      <c r="K13" s="12">
        <v>800000000</v>
      </c>
      <c r="L13" s="12">
        <v>106400000000</v>
      </c>
      <c r="M13" s="12">
        <v>1300000000</v>
      </c>
      <c r="N13" s="12">
        <v>172900000000</v>
      </c>
      <c r="O13" s="3" t="s">
        <v>68</v>
      </c>
      <c r="P13" s="7" t="s">
        <v>83</v>
      </c>
      <c r="Q13" s="3" t="s">
        <v>70</v>
      </c>
    </row>
    <row r="14" spans="1:17">
      <c r="A14" s="3">
        <v>13</v>
      </c>
      <c r="B14" s="3" t="s">
        <v>3</v>
      </c>
      <c r="C14" s="3" t="s">
        <v>62</v>
      </c>
      <c r="D14" s="3" t="s">
        <v>63</v>
      </c>
      <c r="E14" s="3" t="s">
        <v>94</v>
      </c>
      <c r="F14" s="3" t="s">
        <v>95</v>
      </c>
      <c r="G14" s="3" t="s">
        <v>66</v>
      </c>
      <c r="H14" s="3" t="s">
        <v>67</v>
      </c>
      <c r="I14" s="11">
        <v>2.8005601120224</v>
      </c>
      <c r="J14" s="11">
        <v>360</v>
      </c>
      <c r="K14" s="12">
        <v>400000000</v>
      </c>
      <c r="L14" s="12">
        <v>144000000000</v>
      </c>
      <c r="M14" s="12">
        <v>650000000</v>
      </c>
      <c r="N14" s="12">
        <v>234000000000</v>
      </c>
      <c r="O14" s="3" t="s">
        <v>68</v>
      </c>
      <c r="P14" s="3" t="s">
        <v>69</v>
      </c>
      <c r="Q14" s="3" t="s">
        <v>70</v>
      </c>
    </row>
    <row r="15" spans="1:17">
      <c r="A15" s="3">
        <v>14</v>
      </c>
      <c r="B15" s="3" t="s">
        <v>3</v>
      </c>
      <c r="C15" s="3" t="s">
        <v>62</v>
      </c>
      <c r="D15" s="3" t="s">
        <v>63</v>
      </c>
      <c r="E15" s="3" t="s">
        <v>96</v>
      </c>
      <c r="F15" s="3" t="s">
        <v>97</v>
      </c>
      <c r="G15" s="3" t="s">
        <v>66</v>
      </c>
      <c r="H15" s="3" t="s">
        <v>67</v>
      </c>
      <c r="I15" s="11">
        <v>2.28045609121824</v>
      </c>
      <c r="J15" s="11">
        <v>48</v>
      </c>
      <c r="K15" s="12">
        <v>1500000000</v>
      </c>
      <c r="L15" s="12">
        <v>72000000000</v>
      </c>
      <c r="M15" s="12">
        <v>1900000000</v>
      </c>
      <c r="N15" s="12">
        <v>91200000000</v>
      </c>
      <c r="O15" s="3" t="s">
        <v>68</v>
      </c>
      <c r="P15" s="3" t="s">
        <v>69</v>
      </c>
      <c r="Q15" s="3" t="s">
        <v>70</v>
      </c>
    </row>
    <row r="16" spans="1:17">
      <c r="A16" s="3">
        <v>15</v>
      </c>
      <c r="B16" s="3" t="s">
        <v>3</v>
      </c>
      <c r="C16" s="3" t="s">
        <v>62</v>
      </c>
      <c r="D16" s="3" t="s">
        <v>63</v>
      </c>
      <c r="E16" s="3" t="s">
        <v>98</v>
      </c>
      <c r="F16" s="3" t="s">
        <v>99</v>
      </c>
      <c r="G16" s="3" t="s">
        <v>66</v>
      </c>
      <c r="H16" s="3" t="s">
        <v>67</v>
      </c>
      <c r="I16" s="11">
        <v>2.08041608321664</v>
      </c>
      <c r="J16" s="11">
        <v>50</v>
      </c>
      <c r="K16" s="12">
        <v>1800000000</v>
      </c>
      <c r="L16" s="12">
        <v>90000000000</v>
      </c>
      <c r="M16" s="12">
        <v>2100000000</v>
      </c>
      <c r="N16" s="12">
        <v>105000000000</v>
      </c>
      <c r="O16" s="3" t="s">
        <v>68</v>
      </c>
      <c r="P16" s="3" t="s">
        <v>69</v>
      </c>
      <c r="Q16" s="3" t="s">
        <v>70</v>
      </c>
    </row>
    <row r="17" spans="1:17">
      <c r="A17" s="3">
        <v>16</v>
      </c>
      <c r="B17" s="3" t="s">
        <v>3</v>
      </c>
      <c r="C17" s="3" t="s">
        <v>62</v>
      </c>
      <c r="D17" s="3" t="s">
        <v>63</v>
      </c>
      <c r="E17" s="3" t="s">
        <v>100</v>
      </c>
      <c r="F17" s="3" t="s">
        <v>101</v>
      </c>
      <c r="G17" s="3" t="s">
        <v>66</v>
      </c>
      <c r="H17" s="3" t="s">
        <v>67</v>
      </c>
      <c r="I17" s="11">
        <v>1.7003400680136</v>
      </c>
      <c r="J17" s="11">
        <v>97</v>
      </c>
      <c r="K17" s="12">
        <v>1200000000</v>
      </c>
      <c r="L17" s="12">
        <v>116400000000</v>
      </c>
      <c r="M17" s="12">
        <v>7000000000</v>
      </c>
      <c r="N17" s="12">
        <v>679000000000</v>
      </c>
      <c r="O17" s="3" t="s">
        <v>68</v>
      </c>
      <c r="P17" s="7" t="s">
        <v>83</v>
      </c>
      <c r="Q17" s="3" t="s">
        <v>70</v>
      </c>
    </row>
    <row r="18" spans="1:17">
      <c r="A18" s="3">
        <v>17</v>
      </c>
      <c r="B18" s="3" t="s">
        <v>3</v>
      </c>
      <c r="C18" s="3" t="s">
        <v>62</v>
      </c>
      <c r="D18" s="3" t="s">
        <v>63</v>
      </c>
      <c r="E18" s="3" t="s">
        <v>102</v>
      </c>
      <c r="F18" s="3" t="s">
        <v>103</v>
      </c>
      <c r="G18" s="3" t="s">
        <v>66</v>
      </c>
      <c r="H18" s="3" t="s">
        <v>67</v>
      </c>
      <c r="I18" s="11">
        <v>1.68033606721344</v>
      </c>
      <c r="J18" s="11">
        <v>4.85</v>
      </c>
      <c r="K18" s="12">
        <v>18000000000</v>
      </c>
      <c r="L18" s="12">
        <v>87300000000</v>
      </c>
      <c r="M18" s="12">
        <v>22000000000</v>
      </c>
      <c r="N18" s="12">
        <v>106700000000</v>
      </c>
      <c r="O18" s="3" t="s">
        <v>68</v>
      </c>
      <c r="P18" s="7" t="s">
        <v>83</v>
      </c>
      <c r="Q18" s="3" t="s">
        <v>70</v>
      </c>
    </row>
    <row r="19" spans="1:17">
      <c r="A19" s="3">
        <v>18</v>
      </c>
      <c r="B19" s="3" t="s">
        <v>3</v>
      </c>
      <c r="C19" s="3" t="s">
        <v>62</v>
      </c>
      <c r="D19" s="3" t="s">
        <v>63</v>
      </c>
      <c r="E19" s="3" t="s">
        <v>104</v>
      </c>
      <c r="F19" s="3" t="s">
        <v>105</v>
      </c>
      <c r="G19" s="3" t="s">
        <v>66</v>
      </c>
      <c r="H19" s="3" t="s">
        <v>67</v>
      </c>
      <c r="I19" s="11">
        <v>1.52030406081216</v>
      </c>
      <c r="J19" s="11">
        <v>21.3</v>
      </c>
      <c r="K19" s="12">
        <v>4500000000</v>
      </c>
      <c r="L19" s="12">
        <v>95850000000</v>
      </c>
      <c r="M19" s="12">
        <v>9400000000</v>
      </c>
      <c r="N19" s="12">
        <v>200220000000</v>
      </c>
      <c r="O19" s="3" t="s">
        <v>68</v>
      </c>
      <c r="P19" s="7" t="s">
        <v>83</v>
      </c>
      <c r="Q19" s="3" t="s">
        <v>70</v>
      </c>
    </row>
    <row r="20" spans="1:17">
      <c r="A20" s="3">
        <v>19</v>
      </c>
      <c r="B20" s="3" t="s">
        <v>3</v>
      </c>
      <c r="C20" s="3" t="s">
        <v>62</v>
      </c>
      <c r="D20" s="3" t="s">
        <v>63</v>
      </c>
      <c r="E20" s="3" t="s">
        <v>106</v>
      </c>
      <c r="F20" s="3" t="s">
        <v>107</v>
      </c>
      <c r="G20" s="3" t="s">
        <v>66</v>
      </c>
      <c r="H20" s="3" t="s">
        <v>67</v>
      </c>
      <c r="I20" s="11">
        <v>1.38027605521104</v>
      </c>
      <c r="J20" s="11">
        <v>1.45</v>
      </c>
      <c r="K20" s="12">
        <v>35000000000</v>
      </c>
      <c r="L20" s="12">
        <v>50750000000</v>
      </c>
      <c r="M20" s="12">
        <v>34000000000</v>
      </c>
      <c r="N20" s="12">
        <v>49300000000</v>
      </c>
      <c r="O20" s="3" t="s">
        <v>68</v>
      </c>
      <c r="P20" s="7" t="s">
        <v>83</v>
      </c>
      <c r="Q20" s="3" t="s">
        <v>70</v>
      </c>
    </row>
    <row r="21" spans="1:17">
      <c r="A21" s="3">
        <v>20</v>
      </c>
      <c r="B21" s="3" t="s">
        <v>3</v>
      </c>
      <c r="C21" s="3" t="s">
        <v>62</v>
      </c>
      <c r="D21" s="3" t="s">
        <v>63</v>
      </c>
      <c r="E21" s="3" t="s">
        <v>108</v>
      </c>
      <c r="F21" s="3" t="s">
        <v>109</v>
      </c>
      <c r="G21" s="3" t="s">
        <v>66</v>
      </c>
      <c r="H21" s="3" t="s">
        <v>67</v>
      </c>
      <c r="I21" s="11">
        <v>1.3002600520104</v>
      </c>
      <c r="J21" s="11">
        <v>130</v>
      </c>
      <c r="K21" s="12">
        <v>500000000</v>
      </c>
      <c r="L21" s="12">
        <v>65000000000</v>
      </c>
      <c r="M21" s="12">
        <v>600000000</v>
      </c>
      <c r="N21" s="12">
        <v>78000000000</v>
      </c>
      <c r="O21" s="3" t="s">
        <v>68</v>
      </c>
      <c r="P21" s="3" t="s">
        <v>69</v>
      </c>
      <c r="Q21" s="3" t="s">
        <v>70</v>
      </c>
    </row>
    <row r="22" spans="1:17">
      <c r="A22" s="3">
        <v>21</v>
      </c>
      <c r="B22" s="3" t="s">
        <v>3</v>
      </c>
      <c r="C22" s="3" t="s">
        <v>62</v>
      </c>
      <c r="D22" s="3" t="s">
        <v>63</v>
      </c>
      <c r="E22" s="3" t="s">
        <v>110</v>
      </c>
      <c r="F22" s="3" t="s">
        <v>111</v>
      </c>
      <c r="G22" s="3" t="s">
        <v>66</v>
      </c>
      <c r="H22" s="3" t="s">
        <v>67</v>
      </c>
      <c r="I22" s="11">
        <v>1.23024604920984</v>
      </c>
      <c r="J22" s="11">
        <v>38</v>
      </c>
      <c r="K22" s="12">
        <v>1800000000</v>
      </c>
      <c r="L22" s="12">
        <v>68400000000</v>
      </c>
      <c r="M22" s="12">
        <v>3200000000</v>
      </c>
      <c r="N22" s="12">
        <v>121600000000</v>
      </c>
      <c r="O22" s="3" t="s">
        <v>68</v>
      </c>
      <c r="P22" s="3" t="s">
        <v>69</v>
      </c>
      <c r="Q22" s="3" t="s">
        <v>70</v>
      </c>
    </row>
    <row r="23" spans="1:17">
      <c r="A23" s="3">
        <v>22</v>
      </c>
      <c r="B23" s="3" t="s">
        <v>3</v>
      </c>
      <c r="C23" s="3" t="s">
        <v>62</v>
      </c>
      <c r="D23" s="3" t="s">
        <v>63</v>
      </c>
      <c r="E23" s="3" t="s">
        <v>112</v>
      </c>
      <c r="F23" s="3" t="s">
        <v>113</v>
      </c>
      <c r="G23" s="3" t="s">
        <v>66</v>
      </c>
      <c r="H23" s="3" t="s">
        <v>67</v>
      </c>
      <c r="I23" s="11">
        <v>1.09021804360872</v>
      </c>
      <c r="J23" s="11">
        <v>58.8</v>
      </c>
      <c r="K23" s="12">
        <v>1100000000</v>
      </c>
      <c r="L23" s="12">
        <v>64680000000</v>
      </c>
      <c r="M23" s="12">
        <v>1100000000</v>
      </c>
      <c r="N23" s="12">
        <v>64680000000</v>
      </c>
      <c r="O23" s="3" t="s">
        <v>68</v>
      </c>
      <c r="P23" s="3" t="s">
        <v>69</v>
      </c>
      <c r="Q23" s="3" t="s">
        <v>70</v>
      </c>
    </row>
    <row r="24" spans="1:17">
      <c r="A24" s="3">
        <v>23</v>
      </c>
      <c r="B24" s="3" t="s">
        <v>3</v>
      </c>
      <c r="C24" s="3" t="s">
        <v>62</v>
      </c>
      <c r="D24" s="3" t="s">
        <v>63</v>
      </c>
      <c r="E24" s="3" t="s">
        <v>114</v>
      </c>
      <c r="F24" s="3" t="s">
        <v>115</v>
      </c>
      <c r="G24" s="3" t="s">
        <v>66</v>
      </c>
      <c r="H24" s="3" t="s">
        <v>67</v>
      </c>
      <c r="I24" s="11">
        <v>0.810162032406481</v>
      </c>
      <c r="J24" s="11">
        <v>41.5</v>
      </c>
      <c r="K24" s="12">
        <v>1200000000</v>
      </c>
      <c r="L24" s="12">
        <v>49800000000</v>
      </c>
      <c r="M24" s="12">
        <v>1300000000</v>
      </c>
      <c r="N24" s="12">
        <v>53950000000</v>
      </c>
      <c r="O24" s="3" t="s">
        <v>68</v>
      </c>
      <c r="P24" s="7" t="s">
        <v>83</v>
      </c>
      <c r="Q24" s="3" t="s">
        <v>70</v>
      </c>
    </row>
    <row r="25" spans="1:17">
      <c r="A25" s="3">
        <v>24</v>
      </c>
      <c r="B25" s="3" t="s">
        <v>3</v>
      </c>
      <c r="C25" s="3" t="s">
        <v>62</v>
      </c>
      <c r="D25" s="3" t="s">
        <v>63</v>
      </c>
      <c r="E25" s="3" t="s">
        <v>116</v>
      </c>
      <c r="F25" s="3" t="s">
        <v>117</v>
      </c>
      <c r="G25" s="3" t="s">
        <v>66</v>
      </c>
      <c r="H25" s="3" t="s">
        <v>67</v>
      </c>
      <c r="I25" s="11">
        <v>0.670134026805361</v>
      </c>
      <c r="J25" s="11">
        <v>36</v>
      </c>
      <c r="K25" s="12">
        <v>1000000000</v>
      </c>
      <c r="L25" s="12">
        <v>36000000000</v>
      </c>
      <c r="M25" s="12">
        <v>2100000000</v>
      </c>
      <c r="N25" s="12">
        <v>75600000000</v>
      </c>
      <c r="O25" s="3" t="s">
        <v>68</v>
      </c>
      <c r="P25" s="7" t="s">
        <v>83</v>
      </c>
      <c r="Q25" s="3" t="s">
        <v>70</v>
      </c>
    </row>
    <row r="26" spans="1:17">
      <c r="A26" s="3">
        <v>25</v>
      </c>
      <c r="B26" s="3" t="s">
        <v>3</v>
      </c>
      <c r="C26" s="3" t="s">
        <v>62</v>
      </c>
      <c r="D26" s="3" t="s">
        <v>63</v>
      </c>
      <c r="E26" s="3" t="s">
        <v>118</v>
      </c>
      <c r="F26" s="3" t="s">
        <v>119</v>
      </c>
      <c r="G26" s="3" t="s">
        <v>66</v>
      </c>
      <c r="H26" s="3" t="s">
        <v>67</v>
      </c>
      <c r="I26" s="11">
        <v>0.640128025605121</v>
      </c>
      <c r="J26" s="11">
        <v>3.5</v>
      </c>
      <c r="K26" s="12">
        <v>12000000000</v>
      </c>
      <c r="L26" s="12">
        <v>42000000000</v>
      </c>
      <c r="M26" s="12">
        <v>13500000000</v>
      </c>
      <c r="N26" s="12">
        <v>47250000000</v>
      </c>
      <c r="O26" s="3" t="s">
        <v>68</v>
      </c>
      <c r="P26" s="7" t="s">
        <v>83</v>
      </c>
      <c r="Q26" s="3" t="s">
        <v>70</v>
      </c>
    </row>
    <row r="27" spans="1:17">
      <c r="A27" s="3">
        <v>26</v>
      </c>
      <c r="B27" s="3" t="s">
        <v>3</v>
      </c>
      <c r="C27" s="3" t="s">
        <v>62</v>
      </c>
      <c r="D27" s="3" t="s">
        <v>63</v>
      </c>
      <c r="E27" s="3" t="s">
        <v>120</v>
      </c>
      <c r="F27" s="3" t="s">
        <v>121</v>
      </c>
      <c r="G27" s="3" t="s">
        <v>66</v>
      </c>
      <c r="H27" s="3" t="s">
        <v>67</v>
      </c>
      <c r="I27" s="11">
        <v>0.560112022404481</v>
      </c>
      <c r="J27" s="11">
        <v>13.5</v>
      </c>
      <c r="K27" s="12">
        <v>2500000000</v>
      </c>
      <c r="L27" s="12">
        <v>33750000000</v>
      </c>
      <c r="M27" s="12">
        <v>2200000000</v>
      </c>
      <c r="N27" s="12">
        <v>29700000000</v>
      </c>
      <c r="O27" s="3" t="s">
        <v>68</v>
      </c>
      <c r="P27" s="7" t="s">
        <v>83</v>
      </c>
      <c r="Q27" s="3" t="s">
        <v>70</v>
      </c>
    </row>
    <row r="28" spans="1:17">
      <c r="A28" s="3">
        <v>27</v>
      </c>
      <c r="B28" s="3" t="s">
        <v>3</v>
      </c>
      <c r="C28" s="3" t="s">
        <v>62</v>
      </c>
      <c r="D28" s="3" t="s">
        <v>63</v>
      </c>
      <c r="E28" s="3" t="s">
        <v>122</v>
      </c>
      <c r="F28" s="3" t="s">
        <v>123</v>
      </c>
      <c r="G28" s="3" t="s">
        <v>66</v>
      </c>
      <c r="H28" s="3" t="s">
        <v>67</v>
      </c>
      <c r="I28" s="11">
        <v>0.510102020404081</v>
      </c>
      <c r="J28" s="11">
        <v>23.5</v>
      </c>
      <c r="K28" s="12">
        <v>1200000000</v>
      </c>
      <c r="L28" s="12">
        <v>28200000000</v>
      </c>
      <c r="M28" s="12">
        <v>2300000000</v>
      </c>
      <c r="N28" s="12">
        <v>54050000000</v>
      </c>
      <c r="O28" s="3" t="s">
        <v>68</v>
      </c>
      <c r="P28" s="7" t="s">
        <v>83</v>
      </c>
      <c r="Q28" s="3" t="s">
        <v>70</v>
      </c>
    </row>
    <row r="29" spans="1:17">
      <c r="A29" s="3">
        <v>28</v>
      </c>
      <c r="B29" s="3" t="s">
        <v>3</v>
      </c>
      <c r="C29" s="3" t="s">
        <v>62</v>
      </c>
      <c r="D29" s="3" t="s">
        <v>63</v>
      </c>
      <c r="E29" s="3" t="s">
        <v>124</v>
      </c>
      <c r="F29" s="3" t="s">
        <v>125</v>
      </c>
      <c r="G29" s="3" t="s">
        <v>66</v>
      </c>
      <c r="H29" s="3" t="s">
        <v>67</v>
      </c>
      <c r="I29" s="11">
        <v>0.480096019203841</v>
      </c>
      <c r="J29" s="11">
        <v>1100</v>
      </c>
      <c r="K29" s="12">
        <v>30000000</v>
      </c>
      <c r="L29" s="12">
        <v>33000000000</v>
      </c>
      <c r="M29" s="12">
        <v>400000000</v>
      </c>
      <c r="N29" s="12">
        <v>440000000000</v>
      </c>
      <c r="O29" s="3" t="s">
        <v>68</v>
      </c>
      <c r="P29" s="7" t="s">
        <v>83</v>
      </c>
      <c r="Q29" s="3" t="s">
        <v>70</v>
      </c>
    </row>
    <row r="30" spans="1:17">
      <c r="A30" s="3">
        <v>29</v>
      </c>
      <c r="B30" s="3" t="s">
        <v>3</v>
      </c>
      <c r="C30" s="3" t="s">
        <v>62</v>
      </c>
      <c r="D30" s="3" t="s">
        <v>63</v>
      </c>
      <c r="E30" s="3" t="s">
        <v>126</v>
      </c>
      <c r="F30" s="3" t="s">
        <v>127</v>
      </c>
      <c r="G30" s="3" t="s">
        <v>66</v>
      </c>
      <c r="H30" s="3" t="s">
        <v>67</v>
      </c>
      <c r="I30" s="11">
        <v>0.12002400480096</v>
      </c>
      <c r="J30" s="11">
        <v>310</v>
      </c>
      <c r="K30" s="12">
        <v>20000000</v>
      </c>
      <c r="L30" s="12">
        <v>6200000000</v>
      </c>
      <c r="M30" s="12">
        <v>50000000</v>
      </c>
      <c r="N30" s="12">
        <v>15500000000</v>
      </c>
      <c r="O30" s="3" t="s">
        <v>68</v>
      </c>
      <c r="P30" s="7" t="s">
        <v>83</v>
      </c>
      <c r="Q30" s="3" t="s">
        <v>70</v>
      </c>
    </row>
    <row r="31" spans="1:17">
      <c r="A31" s="3">
        <v>30</v>
      </c>
      <c r="B31" s="3" t="s">
        <v>3</v>
      </c>
      <c r="C31" s="3" t="s">
        <v>62</v>
      </c>
      <c r="D31" s="3" t="s">
        <v>63</v>
      </c>
      <c r="E31" s="3" t="s">
        <v>128</v>
      </c>
      <c r="F31" s="3" t="s">
        <v>129</v>
      </c>
      <c r="G31" s="3" t="s">
        <v>66</v>
      </c>
      <c r="H31" s="3" t="s">
        <v>67</v>
      </c>
      <c r="I31" s="11">
        <v>0.0600120024004801</v>
      </c>
      <c r="J31" s="11">
        <v>35</v>
      </c>
      <c r="K31" s="12">
        <v>100000000</v>
      </c>
      <c r="L31" s="12">
        <v>3500000000</v>
      </c>
      <c r="M31" s="12">
        <v>1700000000</v>
      </c>
      <c r="N31" s="12">
        <v>59500000000</v>
      </c>
      <c r="O31" s="3" t="s">
        <v>68</v>
      </c>
      <c r="P31" s="7" t="s">
        <v>83</v>
      </c>
      <c r="Q31" s="3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E35" sqref="E35"/>
    </sheetView>
  </sheetViews>
  <sheetFormatPr defaultColWidth="9" defaultRowHeight="16.8" outlineLevelCol="4"/>
  <cols>
    <col min="1" max="1" width="10" customWidth="1"/>
    <col min="2" max="2" width="12" customWidth="1"/>
    <col min="3" max="3" width="16" customWidth="1"/>
    <col min="4" max="4" width="12" customWidth="1"/>
    <col min="5" max="5" width="10" customWidth="1"/>
  </cols>
  <sheetData>
    <row r="1" ht="20.4" spans="1:5">
      <c r="A1" s="1" t="s">
        <v>130</v>
      </c>
    </row>
    <row r="3" ht="17.6" spans="1:5">
      <c r="A3" s="8" t="s">
        <v>131</v>
      </c>
    </row>
    <row r="4" spans="1:5">
      <c r="A4" s="4" t="s">
        <v>45</v>
      </c>
      <c r="B4" s="4" t="s">
        <v>132</v>
      </c>
      <c r="C4" s="4" t="s">
        <v>133</v>
      </c>
      <c r="D4" s="4" t="s">
        <v>53</v>
      </c>
      <c r="E4" s="4" t="s">
        <v>54</v>
      </c>
    </row>
    <row r="5" spans="1:5">
      <c r="A5" s="9">
        <v>1</v>
      </c>
      <c r="B5" s="9" t="s">
        <v>64</v>
      </c>
      <c r="C5" s="9" t="s">
        <v>65</v>
      </c>
      <c r="D5" s="9">
        <v>9.32</v>
      </c>
      <c r="E5" s="9">
        <v>85</v>
      </c>
    </row>
    <row r="6" spans="1:5">
      <c r="A6" s="9">
        <v>2</v>
      </c>
      <c r="B6" s="9" t="s">
        <v>71</v>
      </c>
      <c r="C6" s="9" t="s">
        <v>72</v>
      </c>
      <c r="D6" s="9">
        <v>9.06</v>
      </c>
      <c r="E6" s="9">
        <v>202</v>
      </c>
    </row>
    <row r="7" spans="1:5">
      <c r="A7" s="9">
        <v>3</v>
      </c>
      <c r="B7" s="9" t="s">
        <v>73</v>
      </c>
      <c r="C7" s="9" t="s">
        <v>74</v>
      </c>
      <c r="D7" s="9">
        <v>8.5</v>
      </c>
      <c r="E7" s="9">
        <v>457</v>
      </c>
    </row>
    <row r="8" spans="1:5">
      <c r="A8" s="9">
        <v>4</v>
      </c>
      <c r="B8" s="9" t="s">
        <v>75</v>
      </c>
      <c r="C8" s="9" t="s">
        <v>76</v>
      </c>
      <c r="D8" s="9">
        <v>8.38</v>
      </c>
      <c r="E8" s="9">
        <v>93.15</v>
      </c>
    </row>
    <row r="9" spans="1:5">
      <c r="A9" s="9">
        <v>5</v>
      </c>
      <c r="B9" s="9" t="s">
        <v>77</v>
      </c>
      <c r="C9" s="9" t="s">
        <v>78</v>
      </c>
      <c r="D9" s="9">
        <v>8.37</v>
      </c>
      <c r="E9" s="9">
        <v>29.02</v>
      </c>
    </row>
    <row r="10" spans="1:5">
      <c r="A10" s="9">
        <v>6</v>
      </c>
      <c r="B10" s="9" t="s">
        <v>79</v>
      </c>
      <c r="C10" s="9" t="s">
        <v>80</v>
      </c>
      <c r="D10" s="9">
        <v>7.7</v>
      </c>
      <c r="E10" s="9">
        <v>123</v>
      </c>
    </row>
    <row r="11" spans="1:5">
      <c r="A11" s="9">
        <v>7</v>
      </c>
      <c r="B11" s="9" t="s">
        <v>81</v>
      </c>
      <c r="C11" s="9" t="s">
        <v>82</v>
      </c>
      <c r="D11" s="9">
        <v>6.65</v>
      </c>
      <c r="E11" s="9">
        <v>72.5</v>
      </c>
    </row>
    <row r="12" spans="1:5">
      <c r="A12" s="9">
        <v>8</v>
      </c>
      <c r="B12" s="9" t="s">
        <v>84</v>
      </c>
      <c r="C12" s="9" t="s">
        <v>85</v>
      </c>
      <c r="D12" s="9">
        <v>5.61</v>
      </c>
      <c r="E12" s="9">
        <v>115.2</v>
      </c>
    </row>
    <row r="13" spans="1:5">
      <c r="A13" s="9">
        <v>9</v>
      </c>
      <c r="B13" s="9" t="s">
        <v>86</v>
      </c>
      <c r="C13" s="9" t="s">
        <v>87</v>
      </c>
      <c r="D13" s="9">
        <v>4.51</v>
      </c>
      <c r="E13" s="9">
        <v>29.78</v>
      </c>
    </row>
    <row r="14" spans="1:5">
      <c r="A14" s="9">
        <v>10</v>
      </c>
      <c r="B14" s="9" t="s">
        <v>88</v>
      </c>
      <c r="C14" s="9" t="s">
        <v>89</v>
      </c>
      <c r="D14" s="9">
        <v>4.44</v>
      </c>
      <c r="E14" s="9">
        <v>93.2</v>
      </c>
    </row>
    <row r="15" spans="1:5">
      <c r="A15" s="9">
        <v>11</v>
      </c>
      <c r="B15" s="9" t="s">
        <v>90</v>
      </c>
      <c r="C15" s="9" t="s">
        <v>91</v>
      </c>
      <c r="D15" s="9">
        <v>3.69</v>
      </c>
      <c r="E15" s="9">
        <v>42</v>
      </c>
    </row>
    <row r="16" spans="1:5">
      <c r="A16" s="9">
        <v>12</v>
      </c>
      <c r="B16" s="9" t="s">
        <v>92</v>
      </c>
      <c r="C16" s="9" t="s">
        <v>93</v>
      </c>
      <c r="D16" s="9">
        <v>2.84</v>
      </c>
      <c r="E16" s="9">
        <v>133</v>
      </c>
    </row>
    <row r="17" spans="1:5">
      <c r="A17" s="9">
        <v>13</v>
      </c>
      <c r="B17" s="9" t="s">
        <v>94</v>
      </c>
      <c r="C17" s="9" t="s">
        <v>95</v>
      </c>
      <c r="D17" s="9">
        <v>2.8</v>
      </c>
      <c r="E17" s="9">
        <v>360</v>
      </c>
    </row>
    <row r="18" spans="1:5">
      <c r="A18" s="9">
        <v>14</v>
      </c>
      <c r="B18" s="9" t="s">
        <v>96</v>
      </c>
      <c r="C18" s="9" t="s">
        <v>97</v>
      </c>
      <c r="D18" s="9">
        <v>2.28</v>
      </c>
      <c r="E18" s="9">
        <v>48</v>
      </c>
    </row>
    <row r="19" spans="1:5">
      <c r="A19" s="9">
        <v>15</v>
      </c>
      <c r="B19" s="9" t="s">
        <v>98</v>
      </c>
      <c r="C19" s="9" t="s">
        <v>99</v>
      </c>
      <c r="D19" s="9">
        <v>2.08</v>
      </c>
      <c r="E19" s="9">
        <v>50</v>
      </c>
    </row>
    <row r="20" spans="1:5">
      <c r="A20" s="9">
        <v>16</v>
      </c>
      <c r="B20" s="9" t="s">
        <v>100</v>
      </c>
      <c r="C20" s="9" t="s">
        <v>101</v>
      </c>
      <c r="D20" s="9">
        <v>1.7</v>
      </c>
      <c r="E20" s="9">
        <v>97</v>
      </c>
    </row>
    <row r="21" spans="1:5">
      <c r="A21" s="9">
        <v>17</v>
      </c>
      <c r="B21" s="9" t="s">
        <v>102</v>
      </c>
      <c r="C21" s="9" t="s">
        <v>103</v>
      </c>
      <c r="D21" s="9">
        <v>1.68</v>
      </c>
      <c r="E21" s="9">
        <v>4.85</v>
      </c>
    </row>
    <row r="22" spans="1:5">
      <c r="A22" s="9">
        <v>18</v>
      </c>
      <c r="B22" s="9" t="s">
        <v>104</v>
      </c>
      <c r="C22" s="9" t="s">
        <v>105</v>
      </c>
      <c r="D22" s="9">
        <v>1.52</v>
      </c>
      <c r="E22" s="9">
        <v>21.3</v>
      </c>
    </row>
    <row r="23" spans="1:5">
      <c r="A23" s="9">
        <v>19</v>
      </c>
      <c r="B23" s="9" t="s">
        <v>106</v>
      </c>
      <c r="C23" s="9" t="s">
        <v>107</v>
      </c>
      <c r="D23" s="9">
        <v>1.38</v>
      </c>
      <c r="E23" s="9">
        <v>1.45</v>
      </c>
    </row>
    <row r="24" spans="1:5">
      <c r="A24" s="9">
        <v>20</v>
      </c>
      <c r="B24" s="9" t="s">
        <v>108</v>
      </c>
      <c r="C24" s="9" t="s">
        <v>109</v>
      </c>
      <c r="D24" s="9">
        <v>1.3</v>
      </c>
      <c r="E24" s="9">
        <v>130</v>
      </c>
    </row>
    <row r="25" spans="1:5">
      <c r="A25" s="9">
        <v>21</v>
      </c>
      <c r="B25" s="9" t="s">
        <v>110</v>
      </c>
      <c r="C25" s="9" t="s">
        <v>111</v>
      </c>
      <c r="D25" s="9">
        <v>1.23</v>
      </c>
      <c r="E25" s="9">
        <v>38</v>
      </c>
    </row>
    <row r="26" spans="1:5">
      <c r="A26" s="9">
        <v>22</v>
      </c>
      <c r="B26" s="9" t="s">
        <v>112</v>
      </c>
      <c r="C26" s="9" t="s">
        <v>113</v>
      </c>
      <c r="D26" s="9">
        <v>1.09</v>
      </c>
      <c r="E26" s="9">
        <v>58.8</v>
      </c>
    </row>
    <row r="27" spans="1:5">
      <c r="A27" s="9">
        <v>23</v>
      </c>
      <c r="B27" s="9" t="s">
        <v>114</v>
      </c>
      <c r="C27" s="9" t="s">
        <v>115</v>
      </c>
      <c r="D27" s="9">
        <v>0.81</v>
      </c>
      <c r="E27" s="9">
        <v>41.5</v>
      </c>
    </row>
    <row r="28" spans="1:5">
      <c r="A28" s="9">
        <v>24</v>
      </c>
      <c r="B28" s="9" t="s">
        <v>116</v>
      </c>
      <c r="C28" s="9" t="s">
        <v>117</v>
      </c>
      <c r="D28" s="9">
        <v>0.67</v>
      </c>
      <c r="E28" s="9">
        <v>36</v>
      </c>
    </row>
    <row r="29" spans="1:5">
      <c r="A29" s="9">
        <v>25</v>
      </c>
      <c r="B29" s="9" t="s">
        <v>118</v>
      </c>
      <c r="C29" s="9" t="s">
        <v>119</v>
      </c>
      <c r="D29" s="9">
        <v>0.64</v>
      </c>
      <c r="E29" s="9">
        <v>3.5</v>
      </c>
    </row>
    <row r="30" spans="1:5">
      <c r="A30" s="9">
        <v>26</v>
      </c>
      <c r="B30" s="9" t="s">
        <v>120</v>
      </c>
      <c r="C30" s="9" t="s">
        <v>121</v>
      </c>
      <c r="D30" s="9">
        <v>0.56</v>
      </c>
      <c r="E30" s="9">
        <v>13.5</v>
      </c>
    </row>
    <row r="31" spans="1:5">
      <c r="A31" s="9">
        <v>27</v>
      </c>
      <c r="B31" s="9" t="s">
        <v>122</v>
      </c>
      <c r="C31" s="9" t="s">
        <v>123</v>
      </c>
      <c r="D31" s="9">
        <v>0.51</v>
      </c>
      <c r="E31" s="9">
        <v>23.5</v>
      </c>
    </row>
    <row r="32" spans="1:5">
      <c r="A32" s="9">
        <v>28</v>
      </c>
      <c r="B32" s="9" t="s">
        <v>124</v>
      </c>
      <c r="C32" s="9" t="s">
        <v>125</v>
      </c>
      <c r="D32" s="9">
        <v>0.48</v>
      </c>
      <c r="E32" s="9">
        <v>1100</v>
      </c>
    </row>
    <row r="33" spans="1:5">
      <c r="A33" s="9">
        <v>29</v>
      </c>
      <c r="B33" s="9" t="s">
        <v>126</v>
      </c>
      <c r="C33" s="9" t="s">
        <v>127</v>
      </c>
      <c r="D33" s="9">
        <v>0.12</v>
      </c>
      <c r="E33" s="9">
        <v>310</v>
      </c>
    </row>
    <row r="34" spans="1:5">
      <c r="A34" s="9">
        <v>30</v>
      </c>
      <c r="B34" s="9" t="s">
        <v>128</v>
      </c>
      <c r="C34" s="9" t="s">
        <v>129</v>
      </c>
      <c r="D34" s="9">
        <v>0.06</v>
      </c>
      <c r="E34" s="9">
        <v>35</v>
      </c>
    </row>
    <row r="35" spans="1:5">
      <c r="D35">
        <f>SUM(D5:D34)</f>
        <v>99.98</v>
      </c>
    </row>
    <row r="36" spans="1:5">
      <c r="A36" s="9" t="s">
        <v>134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18" customWidth="1"/>
    <col min="2" max="2" width="20" customWidth="1"/>
    <col min="3" max="3" width="10" customWidth="1"/>
    <col min="4" max="4" width="20" customWidth="1"/>
    <col min="5" max="5" width="70" customWidth="1"/>
  </cols>
  <sheetData>
    <row r="1" ht="20.4" spans="1:5">
      <c r="A1" s="1" t="s">
        <v>135</v>
      </c>
    </row>
    <row r="3" spans="1:5">
      <c r="A3" s="4" t="s">
        <v>136</v>
      </c>
      <c r="B3" s="4" t="s">
        <v>137</v>
      </c>
      <c r="C3" s="4" t="s">
        <v>18</v>
      </c>
      <c r="D3" s="4" t="s">
        <v>138</v>
      </c>
      <c r="E3" s="4" t="s">
        <v>19</v>
      </c>
    </row>
    <row r="4" spans="1:5">
      <c r="A4" s="3" t="s">
        <v>139</v>
      </c>
      <c r="B4" s="3" t="s">
        <v>20</v>
      </c>
      <c r="C4" s="5" t="s">
        <v>21</v>
      </c>
      <c r="D4" s="3" t="s">
        <v>140</v>
      </c>
      <c r="E4" s="3" t="s">
        <v>141</v>
      </c>
    </row>
    <row r="5" spans="1:5">
      <c r="A5" s="3" t="s">
        <v>142</v>
      </c>
      <c r="B5" s="3" t="s">
        <v>23</v>
      </c>
      <c r="C5" s="5" t="s">
        <v>21</v>
      </c>
      <c r="D5" s="3" t="s">
        <v>143</v>
      </c>
      <c r="E5" s="3" t="s">
        <v>144</v>
      </c>
    </row>
    <row r="6" spans="1:5">
      <c r="A6" s="3" t="s">
        <v>145</v>
      </c>
      <c r="B6" s="3" t="s">
        <v>146</v>
      </c>
      <c r="C6" s="6" t="s">
        <v>26</v>
      </c>
      <c r="D6" s="3" t="s">
        <v>147</v>
      </c>
      <c r="E6" s="3" t="s">
        <v>148</v>
      </c>
    </row>
    <row r="7" spans="1:5">
      <c r="A7" s="3" t="s">
        <v>139</v>
      </c>
      <c r="B7" s="3" t="s">
        <v>2</v>
      </c>
      <c r="C7" s="6" t="s">
        <v>26</v>
      </c>
      <c r="D7" s="3" t="s">
        <v>149</v>
      </c>
      <c r="E7" s="3" t="s">
        <v>150</v>
      </c>
    </row>
    <row r="8" spans="1:5">
      <c r="A8" s="3" t="s">
        <v>121</v>
      </c>
      <c r="B8" s="3" t="s">
        <v>151</v>
      </c>
      <c r="C8" s="7" t="s">
        <v>31</v>
      </c>
      <c r="D8" s="3" t="s">
        <v>152</v>
      </c>
      <c r="E8" s="3" t="s">
        <v>153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A1" sqref="A1"/>
    </sheetView>
  </sheetViews>
  <sheetFormatPr defaultColWidth="9" defaultRowHeight="16.8"/>
  <cols>
    <col min="1" max="13" width="13" customWidth="1"/>
  </cols>
  <sheetData>
    <row r="1" ht="20.4" spans="1:13">
      <c r="A1" s="1" t="s">
        <v>154</v>
      </c>
    </row>
    <row r="3" spans="1:1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</row>
    <row r="4" spans="1:13">
      <c r="A4" s="3" t="s">
        <v>155</v>
      </c>
      <c r="B4" s="3" t="s">
        <v>62</v>
      </c>
      <c r="C4" s="3" t="s">
        <v>63</v>
      </c>
      <c r="D4" s="3">
        <v>700</v>
      </c>
      <c r="E4" s="3" t="s">
        <v>74</v>
      </c>
      <c r="F4" s="3" t="s">
        <v>66</v>
      </c>
      <c r="G4" s="3" t="s">
        <v>67</v>
      </c>
      <c r="H4" s="3">
        <v>69.4031</v>
      </c>
      <c r="I4" s="3">
        <v>428.2</v>
      </c>
      <c r="J4" s="3">
        <v>41601284000</v>
      </c>
      <c r="K4" s="3">
        <v>17813669808800</v>
      </c>
      <c r="L4" s="3">
        <v>41601284000</v>
      </c>
      <c r="M4" s="3">
        <v>17813669808800</v>
      </c>
    </row>
    <row r="5" spans="1:13">
      <c r="A5" s="3" t="s">
        <v>155</v>
      </c>
      <c r="B5" s="3" t="s">
        <v>62</v>
      </c>
      <c r="C5" s="3" t="s">
        <v>63</v>
      </c>
      <c r="D5" s="3">
        <v>9988</v>
      </c>
      <c r="E5" s="3" t="s">
        <v>80</v>
      </c>
      <c r="F5" s="3" t="s">
        <v>66</v>
      </c>
      <c r="G5" s="3" t="s">
        <v>67</v>
      </c>
      <c r="H5" s="3">
        <v>11.3208</v>
      </c>
      <c r="I5" s="3">
        <v>123.2</v>
      </c>
      <c r="J5" s="3">
        <v>23585236400</v>
      </c>
      <c r="K5" s="3">
        <v>2905701124480</v>
      </c>
      <c r="L5" s="3">
        <v>23585236400</v>
      </c>
      <c r="M5" s="3">
        <v>2905701124480</v>
      </c>
    </row>
    <row r="6" spans="1:13">
      <c r="A6" s="3" t="s">
        <v>155</v>
      </c>
      <c r="B6" s="3" t="s">
        <v>62</v>
      </c>
      <c r="C6" s="3" t="s">
        <v>63</v>
      </c>
      <c r="D6" s="3">
        <v>3690</v>
      </c>
      <c r="E6" s="3" t="s">
        <v>65</v>
      </c>
      <c r="F6" s="3" t="s">
        <v>66</v>
      </c>
      <c r="G6" s="3" t="s">
        <v>67</v>
      </c>
      <c r="H6" s="3">
        <v>1.5052</v>
      </c>
      <c r="I6" s="3">
        <v>73.6</v>
      </c>
      <c r="J6" s="3">
        <v>4756874200</v>
      </c>
      <c r="K6" s="3">
        <v>350105941120</v>
      </c>
      <c r="L6" s="3">
        <v>5249154200</v>
      </c>
      <c r="M6" s="3">
        <v>386337749120</v>
      </c>
    </row>
    <row r="7" spans="1:13">
      <c r="A7" s="3" t="s">
        <v>155</v>
      </c>
      <c r="B7" s="3" t="s">
        <v>62</v>
      </c>
      <c r="C7" s="3" t="s">
        <v>63</v>
      </c>
      <c r="D7" s="3">
        <v>9618</v>
      </c>
      <c r="E7" s="3" t="s">
        <v>85</v>
      </c>
      <c r="F7" s="3" t="s">
        <v>66</v>
      </c>
      <c r="G7" s="3" t="s">
        <v>67</v>
      </c>
      <c r="H7" s="3">
        <v>1.3645</v>
      </c>
      <c r="I7" s="3">
        <v>113.1</v>
      </c>
      <c r="J7" s="3">
        <v>2725901500</v>
      </c>
      <c r="K7" s="3">
        <v>308299459650</v>
      </c>
      <c r="L7" s="3">
        <v>3096576000</v>
      </c>
      <c r="M7" s="3">
        <v>350222745600</v>
      </c>
    </row>
    <row r="8" spans="1:13">
      <c r="A8" s="3" t="s">
        <v>155</v>
      </c>
      <c r="B8" s="3" t="s">
        <v>62</v>
      </c>
      <c r="C8" s="3" t="s">
        <v>63</v>
      </c>
      <c r="D8" s="3">
        <v>1810</v>
      </c>
      <c r="E8" s="3" t="s">
        <v>78</v>
      </c>
      <c r="F8" s="3" t="s">
        <v>66</v>
      </c>
      <c r="G8" s="3" t="s">
        <v>67</v>
      </c>
      <c r="H8" s="3">
        <v>0.8318</v>
      </c>
      <c r="I8" s="3">
        <v>28.56</v>
      </c>
      <c r="J8" s="3">
        <v>6189767400</v>
      </c>
      <c r="K8" s="3">
        <v>176779756944</v>
      </c>
      <c r="L8" s="3">
        <v>7475131800</v>
      </c>
      <c r="M8" s="3">
        <v>213489764208</v>
      </c>
    </row>
    <row r="9" spans="1:13">
      <c r="A9" s="3" t="s">
        <v>155</v>
      </c>
      <c r="B9" s="3" t="s">
        <v>62</v>
      </c>
      <c r="C9" s="3" t="s">
        <v>63</v>
      </c>
      <c r="D9" s="3">
        <v>9888</v>
      </c>
      <c r="E9" s="3" t="s">
        <v>89</v>
      </c>
      <c r="F9" s="3" t="s">
        <v>66</v>
      </c>
      <c r="G9" s="3" t="s">
        <v>67</v>
      </c>
      <c r="H9" s="3">
        <v>1.275</v>
      </c>
      <c r="I9" s="3">
        <v>129</v>
      </c>
      <c r="J9" s="3">
        <v>2048536900</v>
      </c>
      <c r="K9" s="3">
        <v>264261260100</v>
      </c>
      <c r="L9" s="3">
        <v>2536923800</v>
      </c>
      <c r="M9" s="3">
        <v>327263170200</v>
      </c>
    </row>
    <row r="10" spans="1:13">
      <c r="A10" s="3" t="s">
        <v>155</v>
      </c>
      <c r="B10" s="3" t="s">
        <v>62</v>
      </c>
      <c r="C10" s="3" t="s">
        <v>63</v>
      </c>
      <c r="D10" s="3">
        <v>9999</v>
      </c>
      <c r="E10" s="3" t="s">
        <v>72</v>
      </c>
      <c r="F10" s="3" t="s">
        <v>66</v>
      </c>
      <c r="G10" s="3" t="s">
        <v>67</v>
      </c>
      <c r="H10" s="3">
        <v>4.8488</v>
      </c>
      <c r="I10" s="3">
        <v>193.1</v>
      </c>
      <c r="J10" s="3">
        <v>6445093900</v>
      </c>
      <c r="K10" s="3">
        <v>1244547632090</v>
      </c>
      <c r="L10" s="3">
        <v>6445093900</v>
      </c>
      <c r="M10" s="3">
        <v>1244547632090</v>
      </c>
    </row>
    <row r="11" spans="1:13">
      <c r="A11" s="3" t="s">
        <v>155</v>
      </c>
      <c r="B11" s="3" t="s">
        <v>62</v>
      </c>
      <c r="C11" s="3" t="s">
        <v>63</v>
      </c>
      <c r="D11" s="3">
        <v>1024</v>
      </c>
      <c r="E11" s="3" t="s">
        <v>91</v>
      </c>
      <c r="F11" s="3" t="s">
        <v>66</v>
      </c>
      <c r="G11" s="3" t="s">
        <v>67</v>
      </c>
      <c r="H11" s="3">
        <v>0.264</v>
      </c>
      <c r="I11" s="3">
        <v>45.5</v>
      </c>
      <c r="J11" s="3">
        <v>1261176000</v>
      </c>
      <c r="K11" s="3">
        <v>57383508000</v>
      </c>
      <c r="L11" s="3">
        <v>1489332100</v>
      </c>
      <c r="M11" s="3">
        <v>67764610550</v>
      </c>
    </row>
    <row r="12" spans="1:13">
      <c r="A12" s="3" t="s">
        <v>155</v>
      </c>
      <c r="B12" s="3" t="s">
        <v>62</v>
      </c>
      <c r="C12" s="3" t="s">
        <v>63</v>
      </c>
      <c r="D12" s="3">
        <v>3888</v>
      </c>
      <c r="E12" s="3" t="s">
        <v>156</v>
      </c>
      <c r="F12" s="3" t="s">
        <v>66</v>
      </c>
      <c r="G12" s="3" t="s">
        <v>67</v>
      </c>
      <c r="H12" s="3">
        <v>0.0285</v>
      </c>
      <c r="I12" s="3">
        <v>21.68</v>
      </c>
      <c r="J12" s="3">
        <v>337562500</v>
      </c>
      <c r="K12" s="3">
        <v>7318355000</v>
      </c>
      <c r="L12" s="3">
        <v>337562500</v>
      </c>
      <c r="M12" s="3">
        <v>7318355000</v>
      </c>
    </row>
    <row r="13" spans="1:13">
      <c r="A13" s="3" t="s">
        <v>155</v>
      </c>
      <c r="B13" s="3" t="s">
        <v>62</v>
      </c>
      <c r="C13" s="3" t="s">
        <v>63</v>
      </c>
      <c r="D13" s="3">
        <v>9626</v>
      </c>
      <c r="E13" s="3" t="s">
        <v>109</v>
      </c>
      <c r="F13" s="3" t="s">
        <v>66</v>
      </c>
      <c r="G13" s="3" t="s">
        <v>67</v>
      </c>
      <c r="H13" s="3">
        <v>0.2893</v>
      </c>
      <c r="I13" s="3">
        <v>133</v>
      </c>
      <c r="J13" s="3">
        <v>451966900</v>
      </c>
      <c r="K13" s="3">
        <v>60111597700</v>
      </c>
      <c r="L13" s="3">
        <v>558286700</v>
      </c>
      <c r="M13" s="3">
        <v>74252131100</v>
      </c>
    </row>
    <row r="14" spans="1:13">
      <c r="A14" s="3" t="s">
        <v>155</v>
      </c>
      <c r="B14" s="3" t="s">
        <v>62</v>
      </c>
      <c r="C14" s="3" t="s">
        <v>63</v>
      </c>
      <c r="D14" s="3">
        <v>2015</v>
      </c>
      <c r="E14" s="3" t="s">
        <v>99</v>
      </c>
      <c r="F14" s="3" t="s">
        <v>66</v>
      </c>
      <c r="G14" s="3" t="s">
        <v>67</v>
      </c>
      <c r="H14" s="3">
        <v>0.2454</v>
      </c>
      <c r="I14" s="3">
        <v>60</v>
      </c>
      <c r="J14" s="3">
        <v>873016300</v>
      </c>
      <c r="K14" s="3">
        <v>52380978000</v>
      </c>
      <c r="L14" s="3">
        <v>1049758300</v>
      </c>
      <c r="M14" s="3">
        <v>62985498000</v>
      </c>
    </row>
    <row r="15" spans="1:13">
      <c r="A15" s="3" t="s">
        <v>155</v>
      </c>
      <c r="B15" s="3" t="s">
        <v>62</v>
      </c>
      <c r="C15" s="3" t="s">
        <v>63</v>
      </c>
      <c r="D15" s="3">
        <v>9868</v>
      </c>
      <c r="E15" s="3" t="s">
        <v>97</v>
      </c>
      <c r="F15" s="3" t="s">
        <v>66</v>
      </c>
      <c r="G15" s="3" t="s">
        <v>67</v>
      </c>
      <c r="H15" s="3">
        <v>0.23</v>
      </c>
      <c r="I15" s="3">
        <v>64.05</v>
      </c>
      <c r="J15" s="3">
        <v>753932500</v>
      </c>
      <c r="K15" s="3">
        <v>48289376625</v>
      </c>
      <c r="L15" s="3">
        <v>921661200</v>
      </c>
      <c r="M15" s="3">
        <v>59032399860</v>
      </c>
    </row>
    <row r="16" spans="1:13">
      <c r="A16" s="3" t="s">
        <v>155</v>
      </c>
      <c r="B16" s="3" t="s">
        <v>62</v>
      </c>
      <c r="C16" s="3" t="s">
        <v>63</v>
      </c>
      <c r="D16" s="3">
        <v>2018</v>
      </c>
      <c r="E16" s="3" t="s">
        <v>157</v>
      </c>
      <c r="F16" s="3" t="s">
        <v>66</v>
      </c>
      <c r="G16" s="3" t="s">
        <v>67</v>
      </c>
      <c r="H16" s="3">
        <v>0.08</v>
      </c>
      <c r="I16" s="3">
        <v>44.34</v>
      </c>
      <c r="J16" s="3">
        <v>463373500</v>
      </c>
      <c r="K16" s="3">
        <v>20545980990</v>
      </c>
      <c r="L16" s="3">
        <v>463373500</v>
      </c>
      <c r="M16" s="3">
        <v>20545980990</v>
      </c>
    </row>
    <row r="17" spans="1:13">
      <c r="A17" s="3" t="s">
        <v>155</v>
      </c>
      <c r="B17" s="3" t="s">
        <v>62</v>
      </c>
      <c r="C17" s="3" t="s">
        <v>63</v>
      </c>
      <c r="D17" s="3">
        <v>2382</v>
      </c>
      <c r="E17" s="3" t="s">
        <v>113</v>
      </c>
      <c r="F17" s="3" t="s">
        <v>66</v>
      </c>
      <c r="G17" s="3" t="s">
        <v>67</v>
      </c>
      <c r="H17" s="3">
        <v>0.1968</v>
      </c>
      <c r="I17" s="3">
        <v>75.8</v>
      </c>
      <c r="J17" s="3">
        <v>666260800</v>
      </c>
      <c r="K17" s="3">
        <v>50502568640</v>
      </c>
      <c r="L17" s="3">
        <v>666260800</v>
      </c>
      <c r="M17" s="3">
        <v>50502568640</v>
      </c>
    </row>
    <row r="18" spans="1:13">
      <c r="A18" s="3" t="s">
        <v>155</v>
      </c>
      <c r="B18" s="3" t="s">
        <v>62</v>
      </c>
      <c r="C18" s="3" t="s">
        <v>63</v>
      </c>
      <c r="D18" s="3">
        <v>2269</v>
      </c>
      <c r="E18" s="3" t="s">
        <v>158</v>
      </c>
      <c r="F18" s="3" t="s">
        <v>66</v>
      </c>
      <c r="G18" s="3" t="s">
        <v>67</v>
      </c>
      <c r="H18" s="3">
        <v>0.2706</v>
      </c>
      <c r="I18" s="3">
        <v>32.86</v>
      </c>
      <c r="J18" s="3">
        <v>2113946400</v>
      </c>
      <c r="K18" s="3">
        <v>69464278704</v>
      </c>
      <c r="L18" s="3">
        <v>2113946400</v>
      </c>
      <c r="M18" s="3">
        <v>69464278704</v>
      </c>
    </row>
    <row r="19" spans="1:13">
      <c r="A19" s="3" t="s">
        <v>155</v>
      </c>
      <c r="B19" s="3" t="s">
        <v>62</v>
      </c>
      <c r="C19" s="3" t="s">
        <v>63</v>
      </c>
      <c r="D19" s="3">
        <v>6060</v>
      </c>
      <c r="E19" s="3" t="s">
        <v>159</v>
      </c>
      <c r="F19" s="3" t="s">
        <v>66</v>
      </c>
      <c r="G19" s="3" t="s">
        <v>67</v>
      </c>
      <c r="H19" s="3">
        <v>0.0072</v>
      </c>
      <c r="I19" s="3">
        <v>10.4</v>
      </c>
      <c r="J19" s="3">
        <v>171982300</v>
      </c>
      <c r="K19" s="3">
        <v>1788615920</v>
      </c>
      <c r="L19" s="3">
        <v>177242300</v>
      </c>
      <c r="M19" s="3">
        <v>1843319920</v>
      </c>
    </row>
    <row r="20" spans="1:13">
      <c r="A20" s="3" t="s">
        <v>155</v>
      </c>
      <c r="B20" s="3" t="s">
        <v>62</v>
      </c>
      <c r="C20" s="3" t="s">
        <v>63</v>
      </c>
      <c r="D20" s="3">
        <v>6618</v>
      </c>
      <c r="E20" s="3" t="s">
        <v>111</v>
      </c>
      <c r="F20" s="3" t="s">
        <v>66</v>
      </c>
      <c r="G20" s="3" t="s">
        <v>67</v>
      </c>
      <c r="H20" s="3">
        <v>0.1852</v>
      </c>
      <c r="I20" s="3">
        <v>38.54</v>
      </c>
      <c r="J20" s="3">
        <v>1233072700</v>
      </c>
      <c r="K20" s="3">
        <v>47522621858</v>
      </c>
      <c r="L20" s="3">
        <v>1233072700</v>
      </c>
      <c r="M20" s="3">
        <v>47522621858</v>
      </c>
    </row>
    <row r="21" spans="1:13">
      <c r="A21" s="3" t="s">
        <v>155</v>
      </c>
      <c r="B21" s="3" t="s">
        <v>62</v>
      </c>
      <c r="C21" s="3" t="s">
        <v>63</v>
      </c>
      <c r="D21" s="3">
        <v>2500</v>
      </c>
      <c r="E21" s="3" t="s">
        <v>160</v>
      </c>
      <c r="F21" s="3" t="s">
        <v>66</v>
      </c>
      <c r="G21" s="3" t="s">
        <v>67</v>
      </c>
      <c r="H21" s="3">
        <v>0</v>
      </c>
      <c r="I21" s="3">
        <v>1.23</v>
      </c>
      <c r="J21" s="3">
        <v>4498300</v>
      </c>
      <c r="K21" s="3">
        <v>5532909</v>
      </c>
      <c r="L21" s="3">
        <v>4498300</v>
      </c>
      <c r="M21" s="3">
        <v>5532909</v>
      </c>
    </row>
    <row r="22" spans="1:13">
      <c r="A22" s="3" t="s">
        <v>155</v>
      </c>
      <c r="B22" s="3" t="s">
        <v>62</v>
      </c>
      <c r="C22" s="3" t="s">
        <v>63</v>
      </c>
      <c r="D22" s="3">
        <v>2013</v>
      </c>
      <c r="E22" s="3" t="s">
        <v>161</v>
      </c>
      <c r="F22" s="3" t="s">
        <v>66</v>
      </c>
      <c r="G22" s="3" t="s">
        <v>67</v>
      </c>
      <c r="H22" s="3">
        <v>0.0002</v>
      </c>
      <c r="I22" s="3">
        <v>1.28</v>
      </c>
      <c r="J22" s="3">
        <v>41529200</v>
      </c>
      <c r="K22" s="3">
        <v>53157376</v>
      </c>
      <c r="L22" s="3">
        <v>41529200</v>
      </c>
      <c r="M22" s="3">
        <v>53157376</v>
      </c>
    </row>
    <row r="23" spans="1:13">
      <c r="A23" s="3" t="s">
        <v>155</v>
      </c>
      <c r="B23" s="3" t="s">
        <v>62</v>
      </c>
      <c r="C23" s="3" t="s">
        <v>63</v>
      </c>
      <c r="D23" s="3">
        <v>2138</v>
      </c>
      <c r="E23" s="3" t="s">
        <v>129</v>
      </c>
      <c r="F23" s="3" t="s">
        <v>66</v>
      </c>
      <c r="G23" s="3" t="s">
        <v>67</v>
      </c>
      <c r="H23" s="3">
        <v>0</v>
      </c>
      <c r="I23" s="3">
        <v>0.415</v>
      </c>
      <c r="J23" s="3">
        <v>5155700</v>
      </c>
      <c r="K23" s="3">
        <v>2139615.5</v>
      </c>
      <c r="L23" s="3">
        <v>5155700</v>
      </c>
      <c r="M23" s="3">
        <v>2139615.5</v>
      </c>
    </row>
    <row r="24" spans="1:13">
      <c r="A24" s="3" t="s">
        <v>155</v>
      </c>
      <c r="B24" s="3" t="s">
        <v>62</v>
      </c>
      <c r="C24" s="3" t="s">
        <v>63</v>
      </c>
      <c r="D24" s="3">
        <v>9961</v>
      </c>
      <c r="E24" s="3" t="s">
        <v>95</v>
      </c>
      <c r="F24" s="3" t="s">
        <v>66</v>
      </c>
      <c r="G24" s="3" t="s">
        <v>67</v>
      </c>
      <c r="H24" s="3">
        <v>3.2755</v>
      </c>
      <c r="I24" s="3">
        <v>367.8</v>
      </c>
      <c r="J24" s="3">
        <v>2285830000</v>
      </c>
      <c r="K24" s="3">
        <v>840728274000</v>
      </c>
      <c r="L24" s="3">
        <v>2285830000</v>
      </c>
      <c r="M24" s="3">
        <v>840728274000</v>
      </c>
    </row>
    <row r="25" spans="1:13">
      <c r="A25" s="3" t="s">
        <v>155</v>
      </c>
      <c r="B25" s="3" t="s">
        <v>62</v>
      </c>
      <c r="C25" s="3" t="s">
        <v>63</v>
      </c>
      <c r="D25" s="3">
        <v>1833</v>
      </c>
      <c r="E25" s="3" t="s">
        <v>162</v>
      </c>
      <c r="F25" s="3" t="s">
        <v>66</v>
      </c>
      <c r="G25" s="3" t="s">
        <v>67</v>
      </c>
      <c r="H25" s="3">
        <v>0.0049</v>
      </c>
      <c r="I25" s="3">
        <v>8.7</v>
      </c>
      <c r="J25" s="3">
        <v>145573200</v>
      </c>
      <c r="K25" s="3">
        <v>1266486840</v>
      </c>
      <c r="L25" s="3">
        <v>145573200</v>
      </c>
      <c r="M25" s="3">
        <v>1266486840</v>
      </c>
    </row>
    <row r="26" spans="1:13">
      <c r="A26" s="3" t="s">
        <v>155</v>
      </c>
      <c r="B26" s="3" t="s">
        <v>62</v>
      </c>
      <c r="C26" s="3" t="s">
        <v>63</v>
      </c>
      <c r="D26" s="3">
        <v>2333</v>
      </c>
      <c r="E26" s="3" t="s">
        <v>163</v>
      </c>
      <c r="F26" s="3" t="s">
        <v>66</v>
      </c>
      <c r="G26" s="3" t="s">
        <v>67</v>
      </c>
      <c r="H26" s="3">
        <v>0.0296</v>
      </c>
      <c r="I26" s="3">
        <v>10.52</v>
      </c>
      <c r="J26" s="3">
        <v>194393900</v>
      </c>
      <c r="K26" s="3">
        <v>2045023828</v>
      </c>
      <c r="L26" s="3">
        <v>721773100</v>
      </c>
      <c r="M26" s="3">
        <v>7593053012</v>
      </c>
    </row>
    <row r="27" spans="1:13">
      <c r="A27" s="3" t="s">
        <v>155</v>
      </c>
      <c r="B27" s="3" t="s">
        <v>62</v>
      </c>
      <c r="C27" s="3" t="s">
        <v>63</v>
      </c>
      <c r="D27" s="3">
        <v>1211</v>
      </c>
      <c r="E27" s="3" t="s">
        <v>76</v>
      </c>
      <c r="F27" s="3" t="s">
        <v>66</v>
      </c>
      <c r="G27" s="3" t="s">
        <v>67</v>
      </c>
      <c r="H27" s="3">
        <v>3.0573</v>
      </c>
      <c r="I27" s="3">
        <v>92.4</v>
      </c>
      <c r="J27" s="3">
        <v>3431087100</v>
      </c>
      <c r="K27" s="3">
        <v>317032448040</v>
      </c>
      <c r="L27" s="3">
        <v>8492669500</v>
      </c>
      <c r="M27" s="3">
        <v>784722661800</v>
      </c>
    </row>
    <row r="28" spans="1:13">
      <c r="A28" s="3" t="s">
        <v>155</v>
      </c>
      <c r="B28" s="3" t="s">
        <v>62</v>
      </c>
      <c r="C28" s="3" t="s">
        <v>63</v>
      </c>
      <c r="D28" s="3">
        <v>992</v>
      </c>
      <c r="E28" s="3" t="s">
        <v>87</v>
      </c>
      <c r="F28" s="3" t="s">
        <v>66</v>
      </c>
      <c r="G28" s="3" t="s">
        <v>67</v>
      </c>
      <c r="H28" s="3">
        <v>0.3256</v>
      </c>
      <c r="I28" s="3">
        <v>22.62</v>
      </c>
      <c r="J28" s="3">
        <v>3694107500</v>
      </c>
      <c r="K28" s="3">
        <v>83560711650</v>
      </c>
      <c r="L28" s="3">
        <v>3694107500</v>
      </c>
      <c r="M28" s="3">
        <v>83560711650</v>
      </c>
    </row>
    <row r="29" spans="1:13">
      <c r="A29" s="3" t="s">
        <v>155</v>
      </c>
      <c r="B29" s="3" t="s">
        <v>62</v>
      </c>
      <c r="C29" s="3" t="s">
        <v>63</v>
      </c>
      <c r="D29" s="3">
        <v>763</v>
      </c>
      <c r="E29" s="3" t="s">
        <v>164</v>
      </c>
      <c r="F29" s="3" t="s">
        <v>66</v>
      </c>
      <c r="G29" s="3" t="s">
        <v>67</v>
      </c>
      <c r="H29" s="3">
        <v>0.1237</v>
      </c>
      <c r="I29" s="3">
        <v>27.82</v>
      </c>
      <c r="J29" s="3">
        <v>180262900</v>
      </c>
      <c r="K29" s="3">
        <v>5014913878</v>
      </c>
      <c r="L29" s="3">
        <v>1141351400</v>
      </c>
      <c r="M29" s="3">
        <v>31752395948</v>
      </c>
    </row>
    <row r="30" spans="1:13">
      <c r="A30" s="3" t="s">
        <v>155</v>
      </c>
      <c r="B30" s="3" t="s">
        <v>62</v>
      </c>
      <c r="C30" s="3" t="s">
        <v>63</v>
      </c>
      <c r="D30" s="3">
        <v>772</v>
      </c>
      <c r="E30" s="3" t="s">
        <v>165</v>
      </c>
      <c r="F30" s="3" t="s">
        <v>66</v>
      </c>
      <c r="G30" s="3" t="s">
        <v>67</v>
      </c>
      <c r="H30" s="3">
        <v>0.018</v>
      </c>
      <c r="I30" s="3">
        <v>22.88</v>
      </c>
      <c r="J30" s="3">
        <v>202456100</v>
      </c>
      <c r="K30" s="3">
        <v>4632195568</v>
      </c>
      <c r="L30" s="3">
        <v>202456100</v>
      </c>
      <c r="M30" s="3">
        <v>4632195568</v>
      </c>
    </row>
    <row r="31" spans="1:13">
      <c r="A31" s="3" t="s">
        <v>155</v>
      </c>
      <c r="B31" s="3" t="s">
        <v>62</v>
      </c>
      <c r="C31" s="3" t="s">
        <v>63</v>
      </c>
      <c r="D31" s="3">
        <v>6098</v>
      </c>
      <c r="E31" s="3" t="s">
        <v>166</v>
      </c>
      <c r="F31" s="3" t="s">
        <v>66</v>
      </c>
      <c r="G31" s="3" t="s">
        <v>67</v>
      </c>
      <c r="H31" s="3">
        <v>0.0041</v>
      </c>
      <c r="I31" s="3">
        <v>5.74</v>
      </c>
      <c r="J31" s="3">
        <v>184084200</v>
      </c>
      <c r="K31" s="3">
        <v>1056643308</v>
      </c>
      <c r="L31" s="3">
        <v>184084200</v>
      </c>
      <c r="M31" s="3">
        <v>1056643308</v>
      </c>
    </row>
    <row r="32" spans="1:13">
      <c r="A32" s="3" t="s">
        <v>155</v>
      </c>
      <c r="B32" s="3" t="s">
        <v>62</v>
      </c>
      <c r="C32" s="3" t="s">
        <v>63</v>
      </c>
      <c r="D32" s="3">
        <v>9633</v>
      </c>
      <c r="E32" s="3" t="s">
        <v>167</v>
      </c>
      <c r="F32" s="3" t="s">
        <v>66</v>
      </c>
      <c r="G32" s="3" t="s">
        <v>67</v>
      </c>
      <c r="H32" s="3">
        <v>0.7918</v>
      </c>
      <c r="I32" s="3">
        <v>42.48</v>
      </c>
      <c r="J32" s="3">
        <v>2141747100</v>
      </c>
      <c r="K32" s="3">
        <v>90981416808</v>
      </c>
      <c r="L32" s="3">
        <v>4784246800</v>
      </c>
      <c r="M32" s="3">
        <v>203234804064</v>
      </c>
    </row>
    <row r="33" spans="1:13">
      <c r="A33" s="3" t="s">
        <v>155</v>
      </c>
      <c r="B33" s="3" t="s">
        <v>62</v>
      </c>
      <c r="C33" s="3" t="s">
        <v>63</v>
      </c>
      <c r="D33" s="3">
        <v>1876</v>
      </c>
      <c r="E33" s="3" t="s">
        <v>168</v>
      </c>
      <c r="F33" s="3" t="s">
        <v>66</v>
      </c>
      <c r="G33" s="3" t="s">
        <v>67</v>
      </c>
      <c r="H33" s="3">
        <v>0.023</v>
      </c>
      <c r="I33" s="3">
        <v>7.07</v>
      </c>
      <c r="J33" s="3">
        <v>834334000</v>
      </c>
      <c r="K33" s="3">
        <v>5898741380</v>
      </c>
      <c r="L33" s="3">
        <v>834334000</v>
      </c>
      <c r="M33" s="3">
        <v>5898741380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00-说明与口径</vt:lpstr>
      <vt:lpstr>01-完整成份股</vt:lpstr>
      <vt:lpstr>02-权重与行业</vt:lpstr>
      <vt:lpstr>03-原表质检明细</vt:lpstr>
      <vt:lpstr>04-原表原文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2026-08-23T16:25:00Z</dcterms:created>
  <dcterms:modified xsi:type="dcterms:W3CDTF">2026-08-24T08:52:46Z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28A60BB8E43F326DA9AF8A6A3530D0BC_43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